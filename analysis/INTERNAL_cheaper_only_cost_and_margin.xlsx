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6" customWidth="1" min="12" max="12"/>
    <col width="11" customWidth="1" min="13" max="13"/>
    <col width="38" customWidth="1" min="14" max="14"/>
  </cols>
  <sheetData>
    <row r="1">
      <c r="A1" s="1" t="inlineStr">
        <is>
          <t>Pos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Cost/unit incl VAT</t>
        </is>
      </c>
      <c r="E1" s="1" t="inlineStr">
        <is>
          <t>Cost total</t>
        </is>
      </c>
      <c r="F1" s="1" t="inlineStr">
        <is>
          <t>Offer/unit (+7%)</t>
        </is>
      </c>
      <c r="G1" s="1" t="inlineStr">
        <is>
          <t>Offer total</t>
        </is>
      </c>
      <c r="H1" s="1" t="inlineStr">
        <is>
          <t>Margin CNY</t>
        </is>
      </c>
      <c r="I1" s="1" t="inlineStr">
        <is>
          <t>Client list/unit</t>
        </is>
      </c>
      <c r="J1" s="1" t="inlineStr">
        <is>
          <t>Client list total</t>
        </is>
      </c>
      <c r="K1" s="1" t="inlineStr">
        <is>
          <t>Supplier</t>
        </is>
      </c>
      <c r="L1" s="1" t="inlineStr">
        <is>
          <t>Lot</t>
        </is>
      </c>
      <c r="M1" s="1" t="inlineStr">
        <is>
          <t>Lead time</t>
        </is>
      </c>
      <c r="N1" s="1" t="inlineStr">
        <is>
          <t>Note</t>
        </is>
      </c>
    </row>
    <row r="2">
      <c r="A2" s="2" t="n">
        <v>6</v>
      </c>
      <c r="B2" s="2" t="inlineStr">
        <is>
          <t>Винт M10x90 DIN 912 кл. пр. 12.9</t>
        </is>
      </c>
      <c r="C2" s="2" t="n">
        <v>300</v>
      </c>
      <c r="D2" s="3" t="n">
        <v>0.63</v>
      </c>
      <c r="E2" s="2" t="n">
        <v>189</v>
      </c>
      <c r="F2" s="3" t="n">
        <v>0.674</v>
      </c>
      <c r="G2" s="2" t="n">
        <v>202.23</v>
      </c>
      <c r="H2" s="2" t="n">
        <v>13.22999999999999</v>
      </c>
      <c r="I2" s="2" t="n">
        <v>0.7</v>
      </c>
      <c r="J2" s="2" t="n">
        <v>210</v>
      </c>
      <c r="K2" s="2" t="inlineStr">
        <is>
          <t>Weierjie</t>
        </is>
      </c>
      <c r="L2" s="2" t="inlineStr">
        <is>
          <t>L6</t>
        </is>
      </c>
      <c r="M2" s="2" t="inlineStr">
        <is>
          <t>уточняется</t>
        </is>
      </c>
      <c r="N2" s="2" t="inlineStr"/>
    </row>
    <row r="3">
      <c r="A3" s="2" t="n">
        <v>7</v>
      </c>
      <c r="B3" s="2" t="inlineStr">
        <is>
          <t>Винт M8x16 DIN 912 кл. пр. 12.9</t>
        </is>
      </c>
      <c r="C3" s="2" t="n">
        <v>300</v>
      </c>
      <c r="D3" s="3" t="n">
        <v>0.13</v>
      </c>
      <c r="E3" s="2" t="n">
        <v>39</v>
      </c>
      <c r="F3" s="3" t="n">
        <v>0.139</v>
      </c>
      <c r="G3" s="2" t="n">
        <v>41.73</v>
      </c>
      <c r="H3" s="2" t="n">
        <v>2.729999999999997</v>
      </c>
      <c r="I3" s="2" t="n">
        <v>0.3</v>
      </c>
      <c r="J3" s="2" t="n">
        <v>90</v>
      </c>
      <c r="K3" s="2" t="inlineStr">
        <is>
          <t>Weierjie</t>
        </is>
      </c>
      <c r="L3" s="2" t="inlineStr">
        <is>
          <t>L6</t>
        </is>
      </c>
      <c r="M3" s="2" t="inlineStr">
        <is>
          <t>уточняется</t>
        </is>
      </c>
      <c r="N3" s="2" t="inlineStr"/>
    </row>
    <row r="4">
      <c r="A4" s="2" t="n">
        <v>9</v>
      </c>
      <c r="B4" s="2" t="inlineStr">
        <is>
          <t>Винт M8x70 DIN 912 кл. пр. 12.9</t>
        </is>
      </c>
      <c r="C4" s="2" t="n">
        <v>300</v>
      </c>
      <c r="D4" s="3" t="n">
        <v>0.34</v>
      </c>
      <c r="E4" s="2" t="n">
        <v>102</v>
      </c>
      <c r="F4" s="3" t="n">
        <v>0.364</v>
      </c>
      <c r="G4" s="2" t="n">
        <v>109.14</v>
      </c>
      <c r="H4" s="2" t="n">
        <v>7.139999999999986</v>
      </c>
      <c r="I4" s="2" t="n">
        <v>0.4</v>
      </c>
      <c r="J4" s="2" t="n">
        <v>120</v>
      </c>
      <c r="K4" s="2" t="inlineStr">
        <is>
          <t>Weierjie</t>
        </is>
      </c>
      <c r="L4" s="2" t="inlineStr">
        <is>
          <t>L6</t>
        </is>
      </c>
      <c r="M4" s="2" t="inlineStr">
        <is>
          <t>уточняется</t>
        </is>
      </c>
      <c r="N4" s="2" t="inlineStr"/>
    </row>
    <row r="5">
      <c r="A5" s="2" t="n">
        <v>12</v>
      </c>
      <c r="B5" s="2" t="inlineStr">
        <is>
          <t>Гайка M10 ГОСТ 5915-70 кл. пр. 8</t>
        </is>
      </c>
      <c r="C5" s="2" t="n">
        <v>300</v>
      </c>
      <c r="D5" s="3" t="n">
        <v>0.03</v>
      </c>
      <c r="E5" s="2" t="n">
        <v>9</v>
      </c>
      <c r="F5" s="3" t="n">
        <v>0.032</v>
      </c>
      <c r="G5" s="2" t="n">
        <v>9.630000000000001</v>
      </c>
      <c r="H5" s="2" t="n">
        <v>0.6300000000000008</v>
      </c>
      <c r="I5" s="2" t="n">
        <v>0.2</v>
      </c>
      <c r="J5" s="2" t="n">
        <v>60</v>
      </c>
      <c r="K5" s="2" t="inlineStr">
        <is>
          <t>Weierjie</t>
        </is>
      </c>
      <c r="L5" s="2" t="inlineStr">
        <is>
          <t>L6</t>
        </is>
      </c>
      <c r="M5" s="2" t="inlineStr">
        <is>
          <t>уточняется</t>
        </is>
      </c>
      <c r="N5" s="2" t="inlineStr"/>
    </row>
    <row r="6">
      <c r="A6" s="2" t="n">
        <v>13</v>
      </c>
      <c r="B6" s="2" t="inlineStr">
        <is>
          <t>Гайка M12 ГОСТ 5915-70 кл. пр. 8</t>
        </is>
      </c>
      <c r="C6" s="2" t="n">
        <v>300</v>
      </c>
      <c r="D6" s="3" t="n">
        <v>0.04</v>
      </c>
      <c r="E6" s="2" t="n">
        <v>12</v>
      </c>
      <c r="F6" s="3" t="n">
        <v>0.043</v>
      </c>
      <c r="G6" s="2" t="n">
        <v>12.84</v>
      </c>
      <c r="H6" s="2" t="n">
        <v>0.8399999999999999</v>
      </c>
      <c r="I6" s="2" t="n">
        <v>0.25</v>
      </c>
      <c r="J6" s="2" t="n">
        <v>75</v>
      </c>
      <c r="K6" s="2" t="inlineStr">
        <is>
          <t>Weierjie</t>
        </is>
      </c>
      <c r="L6" s="2" t="inlineStr">
        <is>
          <t>L6</t>
        </is>
      </c>
      <c r="M6" s="2" t="inlineStr">
        <is>
          <t>уточняется</t>
        </is>
      </c>
      <c r="N6" s="2" t="inlineStr"/>
    </row>
    <row r="7">
      <c r="A7" s="2" t="n">
        <v>17</v>
      </c>
      <c r="B7" s="2" t="inlineStr">
        <is>
          <t>Гайка KMT 20 (M100x2)</t>
        </is>
      </c>
      <c r="C7" s="2" t="n">
        <v>27</v>
      </c>
      <c r="D7" s="3" t="n">
        <v>176</v>
      </c>
      <c r="E7" s="2" t="n">
        <v>4752</v>
      </c>
      <c r="F7" s="3" t="n">
        <v>188.32</v>
      </c>
      <c r="G7" s="2" t="n">
        <v>5084.64</v>
      </c>
      <c r="H7" s="2" t="n">
        <v>332.6400000000003</v>
      </c>
      <c r="I7" s="2" t="n">
        <v>225</v>
      </c>
      <c r="J7" s="2" t="n">
        <v>6075</v>
      </c>
      <c r="K7" s="2" t="inlineStr">
        <is>
          <t>KMT</t>
        </is>
      </c>
      <c r="L7" s="2" t="inlineStr">
        <is>
          <t>L6</t>
        </is>
      </c>
      <c r="M7" s="2" t="inlineStr">
        <is>
          <t>в наличии</t>
        </is>
      </c>
      <c r="N7" s="2" t="inlineStr"/>
    </row>
    <row r="8">
      <c r="A8" s="2" t="n">
        <v>18</v>
      </c>
      <c r="B8" s="2" t="inlineStr">
        <is>
          <t>Гайка KMT 24 (M120x2)</t>
        </is>
      </c>
      <c r="C8" s="2" t="n">
        <v>27</v>
      </c>
      <c r="D8" s="3" t="n">
        <v>216</v>
      </c>
      <c r="E8" s="2" t="n">
        <v>5832</v>
      </c>
      <c r="F8" s="3" t="n">
        <v>231.12</v>
      </c>
      <c r="G8" s="2" t="n">
        <v>6240.24</v>
      </c>
      <c r="H8" s="2" t="n">
        <v>408.2399999999998</v>
      </c>
      <c r="I8" s="2" t="n">
        <v>275</v>
      </c>
      <c r="J8" s="2" t="n">
        <v>7425</v>
      </c>
      <c r="K8" s="2" t="inlineStr">
        <is>
          <t>KMT</t>
        </is>
      </c>
      <c r="L8" s="2" t="inlineStr">
        <is>
          <t>L6</t>
        </is>
      </c>
      <c r="M8" s="2" t="inlineStr">
        <is>
          <t>в наличии</t>
        </is>
      </c>
      <c r="N8" s="2" t="inlineStr"/>
    </row>
    <row r="9">
      <c r="A9" s="2" t="n">
        <v>20</v>
      </c>
      <c r="B9" s="2" t="inlineStr">
        <is>
          <t>Гайка KMT 28 (M140x2)</t>
        </is>
      </c>
      <c r="C9" s="2" t="n">
        <v>12</v>
      </c>
      <c r="D9" s="3" t="n">
        <v>248</v>
      </c>
      <c r="E9" s="2" t="n">
        <v>2976</v>
      </c>
      <c r="F9" s="3" t="n">
        <v>265.36</v>
      </c>
      <c r="G9" s="2" t="n">
        <v>3184.32</v>
      </c>
      <c r="H9" s="2" t="n">
        <v>208.3200000000002</v>
      </c>
      <c r="I9" s="2" t="n">
        <v>330</v>
      </c>
      <c r="J9" s="2" t="n">
        <v>3960</v>
      </c>
      <c r="K9" s="2" t="inlineStr">
        <is>
          <t>KMT</t>
        </is>
      </c>
      <c r="L9" s="2" t="inlineStr">
        <is>
          <t>L6</t>
        </is>
      </c>
      <c r="M9" s="2" t="inlineStr">
        <is>
          <t>в наличии</t>
        </is>
      </c>
      <c r="N9" s="2" t="inlineStr"/>
    </row>
    <row r="10">
      <c r="A10" s="2" t="n">
        <v>21</v>
      </c>
      <c r="B10" s="2" t="inlineStr">
        <is>
          <t>Гайка KMT 32 (M160x2)</t>
        </is>
      </c>
      <c r="C10" s="2" t="n">
        <v>12</v>
      </c>
      <c r="D10" s="3" t="n">
        <v>319</v>
      </c>
      <c r="E10" s="2" t="n">
        <v>3828</v>
      </c>
      <c r="F10" s="3" t="n">
        <v>341.33</v>
      </c>
      <c r="G10" s="2" t="n">
        <v>4095.96</v>
      </c>
      <c r="H10" s="2" t="n">
        <v>267.96</v>
      </c>
      <c r="I10" s="2" t="n">
        <v>423</v>
      </c>
      <c r="J10" s="2" t="n">
        <v>5076</v>
      </c>
      <c r="K10" s="2" t="inlineStr">
        <is>
          <t>KMT</t>
        </is>
      </c>
      <c r="L10" s="2" t="inlineStr">
        <is>
          <t>L6</t>
        </is>
      </c>
      <c r="M10" s="2" t="inlineStr">
        <is>
          <t>в наличии</t>
        </is>
      </c>
      <c r="N10" s="2" t="inlineStr"/>
    </row>
    <row r="11">
      <c r="A11" s="2" t="n">
        <v>25</v>
      </c>
      <c r="B11" s="2" t="inlineStr">
        <is>
          <t>Втулка подшипника</t>
        </is>
      </c>
      <c r="C11" s="2" t="n">
        <v>15</v>
      </c>
      <c r="D11" s="3" t="n">
        <v>2620</v>
      </c>
      <c r="E11" s="2" t="n">
        <v>39300</v>
      </c>
      <c r="F11" s="3" t="n">
        <v>2803.4</v>
      </c>
      <c r="G11" s="2" t="n">
        <v>42051</v>
      </c>
      <c r="H11" s="2" t="n">
        <v>2751</v>
      </c>
      <c r="I11" s="2" t="n">
        <v>4750</v>
      </c>
      <c r="J11" s="2" t="n">
        <v>71250</v>
      </c>
      <c r="K11" s="2" t="inlineStr">
        <is>
          <t>Rongchang</t>
        </is>
      </c>
      <c r="L11" s="2" t="inlineStr">
        <is>
          <t>L4</t>
        </is>
      </c>
      <c r="M11" s="2" t="inlineStr">
        <is>
          <t>40 дн.</t>
        </is>
      </c>
      <c r="N11" s="2" t="inlineStr"/>
    </row>
    <row r="12">
      <c r="A12" s="2" t="n">
        <v>33</v>
      </c>
      <c r="B12" s="2" t="inlineStr">
        <is>
          <t>Кольцо лабиринта внешнее</t>
        </is>
      </c>
      <c r="C12" s="2" t="n">
        <v>15</v>
      </c>
      <c r="D12" s="3" t="n">
        <v>166.67</v>
      </c>
      <c r="E12" s="2" t="n">
        <v>2500.05</v>
      </c>
      <c r="F12" s="3" t="n">
        <v>178.34</v>
      </c>
      <c r="G12" s="2" t="n">
        <v>2675.05</v>
      </c>
      <c r="H12" s="2" t="n">
        <v>175.0000000000005</v>
      </c>
      <c r="I12" s="2" t="n">
        <v>250</v>
      </c>
      <c r="J12" s="2" t="n">
        <v>3750</v>
      </c>
      <c r="K12" s="2" t="inlineStr">
        <is>
          <t>Jiangxu</t>
        </is>
      </c>
      <c r="L12" s="2" t="inlineStr">
        <is>
          <t>L4</t>
        </is>
      </c>
      <c r="M12" s="2" t="inlineStr">
        <is>
          <t>~30 дн.</t>
        </is>
      </c>
      <c r="N12" s="2" t="inlineStr">
        <is>
          <t>5,000 for 33+34 split equally</t>
        </is>
      </c>
    </row>
    <row r="13">
      <c r="A13" s="2" t="n">
        <v>34</v>
      </c>
      <c r="B13" s="2" t="inlineStr">
        <is>
          <t>Кольцо лабиринта внутреннее</t>
        </is>
      </c>
      <c r="C13" s="2" t="n">
        <v>15</v>
      </c>
      <c r="D13" s="3" t="n">
        <v>166.67</v>
      </c>
      <c r="E13" s="2" t="n">
        <v>2500.05</v>
      </c>
      <c r="F13" s="3" t="n">
        <v>178.34</v>
      </c>
      <c r="G13" s="2" t="n">
        <v>2675.05</v>
      </c>
      <c r="H13" s="2" t="n">
        <v>175.0000000000005</v>
      </c>
      <c r="I13" s="2" t="n">
        <v>263</v>
      </c>
      <c r="J13" s="2" t="n">
        <v>3945</v>
      </c>
      <c r="K13" s="2" t="inlineStr">
        <is>
          <t>Jiangxu</t>
        </is>
      </c>
      <c r="L13" s="2" t="inlineStr">
        <is>
          <t>L4</t>
        </is>
      </c>
      <c r="M13" s="2" t="inlineStr">
        <is>
          <t>~30 дн.</t>
        </is>
      </c>
      <c r="N13" s="2" t="inlineStr">
        <is>
          <t>5,000 for 33+34 split equally</t>
        </is>
      </c>
    </row>
    <row r="14">
      <c r="A14" s="2" t="n">
        <v>36</v>
      </c>
      <c r="B14" s="2" t="inlineStr">
        <is>
          <t>Кольцо регулировочное Ø217 (упорная шайба)</t>
        </is>
      </c>
      <c r="C14" s="2" t="n">
        <v>19</v>
      </c>
      <c r="D14" s="3" t="n">
        <v>100</v>
      </c>
      <c r="E14" s="2" t="n">
        <v>1900</v>
      </c>
      <c r="F14" s="3" t="n">
        <v>107</v>
      </c>
      <c r="G14" s="2" t="n">
        <v>2033</v>
      </c>
      <c r="H14" s="2" t="n">
        <v>133</v>
      </c>
      <c r="I14" s="2" t="n">
        <v>350</v>
      </c>
      <c r="J14" s="2" t="n">
        <v>6650</v>
      </c>
      <c r="K14" s="2" t="inlineStr">
        <is>
          <t>Rongchang</t>
        </is>
      </c>
      <c r="L14" s="2" t="inlineStr">
        <is>
          <t>L4</t>
        </is>
      </c>
      <c r="M14" s="2" t="inlineStr">
        <is>
          <t>40 дн.</t>
        </is>
      </c>
      <c r="N14" s="2" t="inlineStr"/>
    </row>
    <row r="15">
      <c r="A15" s="2" t="n">
        <v>37</v>
      </c>
      <c r="B15" s="2" t="inlineStr">
        <is>
          <t>Кольцо регулировочное Ø260 (упорная шайба)</t>
        </is>
      </c>
      <c r="C15" s="2" t="n">
        <v>18</v>
      </c>
      <c r="D15" s="3" t="n">
        <v>160</v>
      </c>
      <c r="E15" s="2" t="n">
        <v>2880</v>
      </c>
      <c r="F15" s="3" t="n">
        <v>171.2</v>
      </c>
      <c r="G15" s="2" t="n">
        <v>3081.6</v>
      </c>
      <c r="H15" s="2" t="n">
        <v>201.5999999999999</v>
      </c>
      <c r="I15" s="2" t="n">
        <v>475</v>
      </c>
      <c r="J15" s="2" t="n">
        <v>8550</v>
      </c>
      <c r="K15" s="2" t="inlineStr">
        <is>
          <t>Rongchang</t>
        </is>
      </c>
      <c r="L15" s="2" t="inlineStr">
        <is>
          <t>L4</t>
        </is>
      </c>
      <c r="M15" s="2" t="inlineStr">
        <is>
          <t>40 дн.</t>
        </is>
      </c>
      <c r="N15" s="2" t="inlineStr"/>
    </row>
    <row r="16">
      <c r="A16" s="2" t="n">
        <v>38</v>
      </c>
      <c r="B16" s="2" t="inlineStr">
        <is>
          <t>Штифт цилиндрический Ø10x35</t>
        </is>
      </c>
      <c r="C16" s="2" t="n">
        <v>18</v>
      </c>
      <c r="D16" s="3" t="n">
        <v>41.06</v>
      </c>
      <c r="E16" s="2" t="n">
        <v>739.08</v>
      </c>
      <c r="F16" s="3" t="n">
        <v>43.93</v>
      </c>
      <c r="G16" s="2" t="n">
        <v>790.8200000000001</v>
      </c>
      <c r="H16" s="2" t="n">
        <v>51.74000000000001</v>
      </c>
      <c r="I16" s="2" t="n">
        <v>46</v>
      </c>
      <c r="J16" s="2" t="n">
        <v>828</v>
      </c>
      <c r="K16" s="2" t="inlineStr">
        <is>
          <t>Jiangxu</t>
        </is>
      </c>
      <c r="L16" s="2" t="inlineStr">
        <is>
          <t>L3</t>
        </is>
      </c>
      <c r="M16" s="2" t="inlineStr">
        <is>
          <t>~30 дн.</t>
        </is>
      </c>
      <c r="N16" s="2" t="inlineStr">
        <is>
          <t>incl. circlip</t>
        </is>
      </c>
    </row>
    <row r="17">
      <c r="A17" s="2" t="n">
        <v>39</v>
      </c>
      <c r="B17" s="2" t="inlineStr">
        <is>
          <t>Штифт цилиндрический Ø14x45</t>
        </is>
      </c>
      <c r="C17" s="2" t="n">
        <v>18</v>
      </c>
      <c r="D17" s="3" t="n">
        <v>41.06</v>
      </c>
      <c r="E17" s="2" t="n">
        <v>739.08</v>
      </c>
      <c r="F17" s="3" t="n">
        <v>43.93</v>
      </c>
      <c r="G17" s="2" t="n">
        <v>790.8200000000001</v>
      </c>
      <c r="H17" s="2" t="n">
        <v>51.74000000000001</v>
      </c>
      <c r="I17" s="2" t="n">
        <v>52</v>
      </c>
      <c r="J17" s="2" t="n">
        <v>936</v>
      </c>
      <c r="K17" s="2" t="inlineStr">
        <is>
          <t>Jiangxu</t>
        </is>
      </c>
      <c r="L17" s="2" t="inlineStr">
        <is>
          <t>L3</t>
        </is>
      </c>
      <c r="M17" s="2" t="inlineStr">
        <is>
          <t>~30 дн.</t>
        </is>
      </c>
      <c r="N17" s="2" t="inlineStr">
        <is>
          <t>incl. circlip</t>
        </is>
      </c>
    </row>
    <row r="18">
      <c r="A18" s="2" t="n">
        <v>40</v>
      </c>
      <c r="B18" s="2" t="inlineStr">
        <is>
          <t>Штифт цилиндрический Ø10x32</t>
        </is>
      </c>
      <c r="C18" s="2" t="n">
        <v>18</v>
      </c>
      <c r="D18" s="3" t="n">
        <v>41.06</v>
      </c>
      <c r="E18" s="2" t="n">
        <v>739.08</v>
      </c>
      <c r="F18" s="3" t="n">
        <v>43.93</v>
      </c>
      <c r="G18" s="2" t="n">
        <v>790.8200000000001</v>
      </c>
      <c r="H18" s="2" t="n">
        <v>51.74000000000001</v>
      </c>
      <c r="I18" s="2" t="n">
        <v>52</v>
      </c>
      <c r="J18" s="2" t="n">
        <v>936</v>
      </c>
      <c r="K18" s="2" t="inlineStr">
        <is>
          <t>Jiangxu</t>
        </is>
      </c>
      <c r="L18" s="2" t="inlineStr">
        <is>
          <t>L3</t>
        </is>
      </c>
      <c r="M18" s="2" t="inlineStr">
        <is>
          <t>~30 дн.</t>
        </is>
      </c>
      <c r="N18" s="2" t="inlineStr">
        <is>
          <t>incl. circlip</t>
        </is>
      </c>
    </row>
    <row r="19">
      <c r="A19" s="2" t="n">
        <v>46</v>
      </c>
      <c r="B19" s="2" t="inlineStr">
        <is>
          <t>Кольцо регулировочное Ø335 (установочный диск)</t>
        </is>
      </c>
      <c r="C19" s="2" t="n">
        <v>18</v>
      </c>
      <c r="D19" s="3" t="n">
        <v>450</v>
      </c>
      <c r="E19" s="2" t="n">
        <v>8100</v>
      </c>
      <c r="F19" s="3" t="n">
        <v>481.5</v>
      </c>
      <c r="G19" s="2" t="n">
        <v>8667</v>
      </c>
      <c r="H19" s="2" t="n">
        <v>567</v>
      </c>
      <c r="I19" s="2" t="n">
        <v>900</v>
      </c>
      <c r="J19" s="2" t="n">
        <v>16200</v>
      </c>
      <c r="K19" s="2" t="inlineStr">
        <is>
          <t>Rongchang</t>
        </is>
      </c>
      <c r="L19" s="2" t="inlineStr">
        <is>
          <t>L4</t>
        </is>
      </c>
      <c r="M19" s="2" t="inlineStr">
        <is>
          <t>40 дн.</t>
        </is>
      </c>
      <c r="N19" s="2" t="inlineStr"/>
    </row>
    <row r="20">
      <c r="A20" s="2" t="n">
        <v>47</v>
      </c>
      <c r="B20" s="2" t="inlineStr">
        <is>
          <t>Кольцо регулировочное Ø220 (дистанционная шайба)</t>
        </is>
      </c>
      <c r="C20" s="2" t="n">
        <v>18</v>
      </c>
      <c r="D20" s="3" t="n">
        <v>120</v>
      </c>
      <c r="E20" s="2" t="n">
        <v>2160</v>
      </c>
      <c r="F20" s="3" t="n">
        <v>128.4</v>
      </c>
      <c r="G20" s="2" t="n">
        <v>2311.2</v>
      </c>
      <c r="H20" s="2" t="n">
        <v>151.1999999999998</v>
      </c>
      <c r="I20" s="2" t="n">
        <v>400</v>
      </c>
      <c r="J20" s="2" t="n">
        <v>7200</v>
      </c>
      <c r="K20" s="2" t="inlineStr">
        <is>
          <t>Rongchang</t>
        </is>
      </c>
      <c r="L20" s="2" t="inlineStr">
        <is>
          <t>L4</t>
        </is>
      </c>
      <c r="M20" s="2" t="inlineStr">
        <is>
          <t>40 дн.</t>
        </is>
      </c>
      <c r="N20" s="2" t="inlineStr"/>
    </row>
    <row r="21">
      <c r="A21" s="2" t="n">
        <v>48</v>
      </c>
      <c r="B21" s="2" t="inlineStr">
        <is>
          <t>Кольцо регулировочное Ø264 (дистанционная шайба)</t>
        </is>
      </c>
      <c r="C21" s="2" t="n">
        <v>18</v>
      </c>
      <c r="D21" s="3" t="n">
        <v>200</v>
      </c>
      <c r="E21" s="2" t="n">
        <v>3600</v>
      </c>
      <c r="F21" s="3" t="n">
        <v>214</v>
      </c>
      <c r="G21" s="2" t="n">
        <v>3852</v>
      </c>
      <c r="H21" s="2" t="n">
        <v>252</v>
      </c>
      <c r="I21" s="2" t="n">
        <v>650</v>
      </c>
      <c r="J21" s="2" t="n">
        <v>11700</v>
      </c>
      <c r="K21" s="2" t="inlineStr">
        <is>
          <t>Rongchang</t>
        </is>
      </c>
      <c r="L21" s="2" t="inlineStr">
        <is>
          <t>L4</t>
        </is>
      </c>
      <c r="M21" s="2" t="inlineStr">
        <is>
          <t>40 дн.</t>
        </is>
      </c>
      <c r="N21" s="2" t="inlineStr"/>
    </row>
    <row r="23">
      <c r="A23" s="4" t="inlineStr">
        <is>
          <t>ИТОГО / TOTAL</t>
        </is>
      </c>
      <c r="B23" s="4" t="inlineStr"/>
      <c r="C23" s="4" t="inlineStr"/>
      <c r="D23" s="4" t="inlineStr"/>
      <c r="E23" s="4">
        <f>SUM(E2:E21)</f>
        <v/>
      </c>
      <c r="F23" s="4" t="inlineStr"/>
      <c r="G23" s="4">
        <f>SUM(G2:G21)</f>
        <v/>
      </c>
      <c r="H23" s="4">
        <f>SUM(H2:H21)</f>
        <v/>
      </c>
      <c r="I23" s="4" t="inlineStr"/>
      <c r="J23" s="4">
        <f>SUM(J2:J21)</f>
        <v/>
      </c>
      <c r="K23" s="4" t="inlineStr"/>
      <c r="L23" s="4" t="inlineStr"/>
      <c r="M23" s="4" t="inlineStr"/>
      <c r="N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2026-10-20T16:41:55Z</dcterms:created>
  <dcterms:modified xmlns:dcterms="http://purl.org/dc/terms/" xmlns:xsi="http://www.w3.org/2001/XMLSchema-instance" xsi:type="dcterms:W3CDTF">2026-10-20T16:41:55Z</dcterms:modified>
</cp:coreProperties>
</file>