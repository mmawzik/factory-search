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едлож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3" fillId="0" borderId="1" pivotButton="0" quotePrefix="0" xfId="0"/>
    <xf numFmtId="4" fontId="3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26" customWidth="1" min="4" max="4"/>
    <col width="10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Коммерческое предложение — запчасти Kocks SRB-360/500</t>
        </is>
      </c>
    </row>
    <row r="2">
      <c r="A2" t="inlineStr">
        <is>
          <t>East Gate Partners Co., Ltd · Гуанчжоу · 24.10.2026</t>
        </is>
      </c>
    </row>
    <row r="4" ht="45" customHeight="1">
      <c r="A4" s="2" t="inlineStr">
        <is>
          <t>№ поз.</t>
        </is>
      </c>
      <c r="B4" s="2" t="inlineStr">
        <is>
          <t>Наименование</t>
        </is>
      </c>
      <c r="C4" s="2" t="inlineStr">
        <is>
          <t>Чертёж / стандарт</t>
        </is>
      </c>
      <c r="D4" s="2" t="inlineStr">
        <is>
          <t>Материал</t>
        </is>
      </c>
      <c r="E4" s="2" t="inlineStr">
        <is>
          <t>Кол-во, шт</t>
        </is>
      </c>
      <c r="F4" s="2" t="inlineStr">
        <is>
          <t>Цена за ед., CNY с НДС 13%</t>
        </is>
      </c>
      <c r="G4" s="2" t="inlineStr">
        <is>
          <t>Сумма, CNY с НДС 13%</t>
        </is>
      </c>
      <c r="H4" s="2" t="inlineStr">
        <is>
          <t>Срок изготовления</t>
        </is>
      </c>
    </row>
    <row r="5">
      <c r="A5" s="3" t="n">
        <v>6</v>
      </c>
      <c r="B5" s="3" t="inlineStr">
        <is>
          <t>Винт M10×90, кл. пр. 12.9</t>
        </is>
      </c>
      <c r="C5" s="3" t="inlineStr">
        <is>
          <t>DIN 912</t>
        </is>
      </c>
      <c r="D5" s="3" t="inlineStr">
        <is>
          <t>Сталь 12.9</t>
        </is>
      </c>
      <c r="E5" s="3" t="n">
        <v>300</v>
      </c>
      <c r="F5" s="4" t="n">
        <v>0.674</v>
      </c>
      <c r="G5" s="5">
        <f>ROUND(E5*F5,2)</f>
        <v/>
      </c>
      <c r="H5" s="3" t="inlineStr">
        <is>
          <t>уточняется</t>
        </is>
      </c>
    </row>
    <row r="6">
      <c r="A6" s="3" t="n">
        <v>7</v>
      </c>
      <c r="B6" s="3" t="inlineStr">
        <is>
          <t>Винт M8×16, кл. пр. 12.9</t>
        </is>
      </c>
      <c r="C6" s="3" t="inlineStr">
        <is>
          <t>DIN 912</t>
        </is>
      </c>
      <c r="D6" s="3" t="inlineStr">
        <is>
          <t>Сталь 12.9</t>
        </is>
      </c>
      <c r="E6" s="3" t="n">
        <v>300</v>
      </c>
      <c r="F6" s="4" t="n">
        <v>0.139</v>
      </c>
      <c r="G6" s="5">
        <f>ROUND(E6*F6,2)</f>
        <v/>
      </c>
      <c r="H6" s="3" t="inlineStr">
        <is>
          <t>уточняется</t>
        </is>
      </c>
    </row>
    <row r="7">
      <c r="A7" s="3" t="n">
        <v>9</v>
      </c>
      <c r="B7" s="3" t="inlineStr">
        <is>
          <t>Винт M8×70, кл. пр. 12.9</t>
        </is>
      </c>
      <c r="C7" s="3" t="inlineStr">
        <is>
          <t>DIN 912</t>
        </is>
      </c>
      <c r="D7" s="3" t="inlineStr">
        <is>
          <t>Сталь 12.9</t>
        </is>
      </c>
      <c r="E7" s="3" t="n">
        <v>300</v>
      </c>
      <c r="F7" s="4" t="n">
        <v>0.364</v>
      </c>
      <c r="G7" s="5">
        <f>ROUND(E7*F7,2)</f>
        <v/>
      </c>
      <c r="H7" s="3" t="inlineStr">
        <is>
          <t>уточняется</t>
        </is>
      </c>
    </row>
    <row r="8">
      <c r="A8" s="3" t="n">
        <v>12</v>
      </c>
      <c r="B8" s="3" t="inlineStr">
        <is>
          <t>Гайка M10, кл. пр. 8</t>
        </is>
      </c>
      <c r="C8" s="3" t="inlineStr">
        <is>
          <t>ГОСТ 5915-70</t>
        </is>
      </c>
      <c r="D8" s="3" t="inlineStr">
        <is>
          <t>Сталь кл. 8</t>
        </is>
      </c>
      <c r="E8" s="3" t="n">
        <v>300</v>
      </c>
      <c r="F8" s="4" t="n">
        <v>0.032</v>
      </c>
      <c r="G8" s="5">
        <f>ROUND(E8*F8,2)</f>
        <v/>
      </c>
      <c r="H8" s="3" t="inlineStr">
        <is>
          <t>уточняется</t>
        </is>
      </c>
    </row>
    <row r="9">
      <c r="A9" s="3" t="n">
        <v>13</v>
      </c>
      <c r="B9" s="3" t="inlineStr">
        <is>
          <t>Гайка M12, кл. пр. 8</t>
        </is>
      </c>
      <c r="C9" s="3" t="inlineStr">
        <is>
          <t>ГОСТ 5915-70</t>
        </is>
      </c>
      <c r="D9" s="3" t="inlineStr">
        <is>
          <t>Сталь кл. 8</t>
        </is>
      </c>
      <c r="E9" s="3" t="n">
        <v>300</v>
      </c>
      <c r="F9" s="4" t="n">
        <v>0.043</v>
      </c>
      <c r="G9" s="5">
        <f>ROUND(E9*F9,2)</f>
        <v/>
      </c>
      <c r="H9" s="3" t="inlineStr">
        <is>
          <t>уточняется</t>
        </is>
      </c>
    </row>
    <row r="10">
      <c r="A10" s="3" t="n">
        <v>17</v>
      </c>
      <c r="B10" s="3" t="inlineStr">
        <is>
          <t>Гайка KMT20 (M100×2)</t>
        </is>
      </c>
      <c r="C10" s="3" t="inlineStr">
        <is>
          <t>SKF KMT 20</t>
        </is>
      </c>
      <c r="D10" s="3" t="inlineStr">
        <is>
          <t>Сталь 45</t>
        </is>
      </c>
      <c r="E10" s="3" t="n">
        <v>27</v>
      </c>
      <c r="F10" s="4" t="n">
        <v>188.32</v>
      </c>
      <c r="G10" s="5">
        <f>ROUND(E10*F10,2)</f>
        <v/>
      </c>
      <c r="H10" s="3" t="inlineStr">
        <is>
          <t>со склада*</t>
        </is>
      </c>
    </row>
    <row r="11">
      <c r="A11" s="3" t="n">
        <v>18</v>
      </c>
      <c r="B11" s="3" t="inlineStr">
        <is>
          <t>Гайка KMT24 (M120×2)</t>
        </is>
      </c>
      <c r="C11" s="3" t="inlineStr">
        <is>
          <t>SKF KMT 24</t>
        </is>
      </c>
      <c r="D11" s="3" t="inlineStr">
        <is>
          <t>Сталь 45</t>
        </is>
      </c>
      <c r="E11" s="3" t="n">
        <v>27</v>
      </c>
      <c r="F11" s="4" t="n">
        <v>231.12</v>
      </c>
      <c r="G11" s="5">
        <f>ROUND(E11*F11,2)</f>
        <v/>
      </c>
      <c r="H11" s="3" t="inlineStr">
        <is>
          <t>со склада*</t>
        </is>
      </c>
    </row>
    <row r="12">
      <c r="A12" s="3" t="n">
        <v>20</v>
      </c>
      <c r="B12" s="3" t="inlineStr">
        <is>
          <t>Гайка KMT28 (M140×2)</t>
        </is>
      </c>
      <c r="C12" s="3" t="inlineStr">
        <is>
          <t>SKF KMT 28</t>
        </is>
      </c>
      <c r="D12" s="3" t="inlineStr">
        <is>
          <t>Сталь 45</t>
        </is>
      </c>
      <c r="E12" s="3" t="n">
        <v>12</v>
      </c>
      <c r="F12" s="4" t="n">
        <v>265.36</v>
      </c>
      <c r="G12" s="5">
        <f>ROUND(E12*F12,2)</f>
        <v/>
      </c>
      <c r="H12" s="3" t="inlineStr">
        <is>
          <t>со склада*</t>
        </is>
      </c>
    </row>
    <row r="13">
      <c r="A13" s="3" t="n">
        <v>21</v>
      </c>
      <c r="B13" s="3" t="inlineStr">
        <is>
          <t>Гайка KMT32 (M160×3)</t>
        </is>
      </c>
      <c r="C13" s="3" t="inlineStr">
        <is>
          <t>SKF KMT 32</t>
        </is>
      </c>
      <c r="D13" s="3" t="inlineStr">
        <is>
          <t>Сталь 45</t>
        </is>
      </c>
      <c r="E13" s="3" t="n">
        <v>12</v>
      </c>
      <c r="F13" s="4" t="n">
        <v>341.33</v>
      </c>
      <c r="G13" s="5">
        <f>ROUND(E13*F13,2)</f>
        <v/>
      </c>
      <c r="H13" s="3" t="inlineStr">
        <is>
          <t>со склада*</t>
        </is>
      </c>
    </row>
    <row r="14">
      <c r="A14" s="3" t="n">
        <v>25</v>
      </c>
      <c r="B14" s="3" t="inlineStr">
        <is>
          <t>Втулка подшипника</t>
        </is>
      </c>
      <c r="C14" s="3" t="inlineStr">
        <is>
          <t>29556/1b</t>
        </is>
      </c>
      <c r="D14" s="3" t="inlineStr">
        <is>
          <t>CuSn12, центробежное литьё</t>
        </is>
      </c>
      <c r="E14" s="3" t="n">
        <v>15</v>
      </c>
      <c r="F14" s="4" t="n">
        <v>2803.4</v>
      </c>
      <c r="G14" s="5">
        <f>ROUND(E14*F14,2)</f>
        <v/>
      </c>
      <c r="H14" s="3" t="inlineStr">
        <is>
          <t>~40 дней</t>
        </is>
      </c>
    </row>
    <row r="15">
      <c r="A15" s="3" t="n">
        <v>33</v>
      </c>
      <c r="B15" s="3" t="inlineStr">
        <is>
          <t>Кольцо лабиринта внешнее</t>
        </is>
      </c>
      <c r="C15" s="3" t="inlineStr">
        <is>
          <t>23916/2</t>
        </is>
      </c>
      <c r="D15" s="3" t="inlineStr">
        <is>
          <t>EN AW-1050A</t>
        </is>
      </c>
      <c r="E15" s="3" t="n">
        <v>15</v>
      </c>
      <c r="F15" s="4" t="n">
        <v>178.34</v>
      </c>
      <c r="G15" s="5">
        <f>ROUND(E15*F15,2)</f>
        <v/>
      </c>
      <c r="H15" s="3" t="inlineStr">
        <is>
          <t>~30 дней</t>
        </is>
      </c>
    </row>
    <row r="16">
      <c r="A16" s="3" t="n">
        <v>34</v>
      </c>
      <c r="B16" s="3" t="inlineStr">
        <is>
          <t>Кольцо лабиринта внутреннее</t>
        </is>
      </c>
      <c r="C16" s="3" t="inlineStr">
        <is>
          <t>23915/2</t>
        </is>
      </c>
      <c r="D16" s="3" t="inlineStr">
        <is>
          <t>EN AW-1050A</t>
        </is>
      </c>
      <c r="E16" s="3" t="n">
        <v>15</v>
      </c>
      <c r="F16" s="4" t="n">
        <v>178.34</v>
      </c>
      <c r="G16" s="5">
        <f>ROUND(E16*F16,2)</f>
        <v/>
      </c>
      <c r="H16" s="3" t="inlineStr">
        <is>
          <t>~30 дней</t>
        </is>
      </c>
    </row>
    <row r="17">
      <c r="A17" s="3" t="n">
        <v>36</v>
      </c>
      <c r="B17" s="3" t="inlineStr">
        <is>
          <t>Шайба упорная Ø217</t>
        </is>
      </c>
      <c r="C17" s="3" t="inlineStr">
        <is>
          <t>23750/2b</t>
        </is>
      </c>
      <c r="D17" s="3" t="inlineStr">
        <is>
          <t>CuZn35Al1</t>
        </is>
      </c>
      <c r="E17" s="3" t="n">
        <v>19</v>
      </c>
      <c r="F17" s="4" t="n">
        <v>107</v>
      </c>
      <c r="G17" s="5">
        <f>ROUND(E17*F17,2)</f>
        <v/>
      </c>
      <c r="H17" s="3" t="inlineStr">
        <is>
          <t>~40 дней</t>
        </is>
      </c>
    </row>
    <row r="18">
      <c r="A18" s="3" t="n">
        <v>37</v>
      </c>
      <c r="B18" s="3" t="inlineStr">
        <is>
          <t>Шайба упорная Ø260</t>
        </is>
      </c>
      <c r="C18" s="3" t="inlineStr">
        <is>
          <t>23749/2d</t>
        </is>
      </c>
      <c r="D18" s="3" t="inlineStr">
        <is>
          <t>CuZn35Al1</t>
        </is>
      </c>
      <c r="E18" s="3" t="n">
        <v>18</v>
      </c>
      <c r="F18" s="4" t="n">
        <v>171.2</v>
      </c>
      <c r="G18" s="5">
        <f>ROUND(E18*F18,2)</f>
        <v/>
      </c>
      <c r="H18" s="3" t="inlineStr">
        <is>
          <t>~40 дней</t>
        </is>
      </c>
    </row>
    <row r="19">
      <c r="A19" s="3" t="n">
        <v>38</v>
      </c>
      <c r="B19" s="3" t="inlineStr">
        <is>
          <t>Штифт цилиндрический Ø10×35</t>
        </is>
      </c>
      <c r="C19" s="3" t="inlineStr">
        <is>
          <t>58672/4a</t>
        </is>
      </c>
      <c r="D19" s="3" t="inlineStr">
        <is>
          <t>St50K / сталь 45**</t>
        </is>
      </c>
      <c r="E19" s="3" t="n">
        <v>18</v>
      </c>
      <c r="F19" s="4" t="n">
        <v>43.93</v>
      </c>
      <c r="G19" s="5">
        <f>ROUND(E19*F19,2)</f>
        <v/>
      </c>
      <c r="H19" s="3" t="inlineStr">
        <is>
          <t>~30 дней</t>
        </is>
      </c>
    </row>
    <row r="20">
      <c r="A20" s="3" t="n">
        <v>39</v>
      </c>
      <c r="B20" s="3" t="inlineStr">
        <is>
          <t>Штифт цилиндрический Ø14×45</t>
        </is>
      </c>
      <c r="C20" s="3" t="inlineStr">
        <is>
          <t>58741/4</t>
        </is>
      </c>
      <c r="D20" s="3" t="inlineStr">
        <is>
          <t>St50K / сталь 45**</t>
        </is>
      </c>
      <c r="E20" s="3" t="n">
        <v>18</v>
      </c>
      <c r="F20" s="4" t="n">
        <v>43.93</v>
      </c>
      <c r="G20" s="5">
        <f>ROUND(E20*F20,2)</f>
        <v/>
      </c>
      <c r="H20" s="3" t="inlineStr">
        <is>
          <t>~30 дней</t>
        </is>
      </c>
    </row>
    <row r="21">
      <c r="A21" s="3" t="n">
        <v>40</v>
      </c>
      <c r="B21" s="3" t="inlineStr">
        <is>
          <t>Штифт цилиндрический Ø10×32</t>
        </is>
      </c>
      <c r="C21" s="3" t="inlineStr">
        <is>
          <t>57931/4a</t>
        </is>
      </c>
      <c r="D21" s="3" t="inlineStr">
        <is>
          <t>St50K / сталь 45**</t>
        </is>
      </c>
      <c r="E21" s="3" t="n">
        <v>18</v>
      </c>
      <c r="F21" s="4" t="n">
        <v>43.93</v>
      </c>
      <c r="G21" s="5">
        <f>ROUND(E21*F21,2)</f>
        <v/>
      </c>
      <c r="H21" s="3" t="inlineStr">
        <is>
          <t>~30 дней</t>
        </is>
      </c>
    </row>
    <row r="22">
      <c r="A22" s="3" t="n">
        <v>46</v>
      </c>
      <c r="B22" s="3" t="inlineStr">
        <is>
          <t>Диск установочный Ø335</t>
        </is>
      </c>
      <c r="C22" s="3" t="inlineStr">
        <is>
          <t>28078/3a</t>
        </is>
      </c>
      <c r="D22" s="3" t="inlineStr">
        <is>
          <t>G-CuZn35Al1</t>
        </is>
      </c>
      <c r="E22" s="3" t="n">
        <v>18</v>
      </c>
      <c r="F22" s="4" t="n">
        <v>481.5</v>
      </c>
      <c r="G22" s="5">
        <f>ROUND(E22*F22,2)</f>
        <v/>
      </c>
      <c r="H22" s="3" t="inlineStr">
        <is>
          <t>~40 дней</t>
        </is>
      </c>
    </row>
    <row r="23">
      <c r="A23" s="3" t="n">
        <v>47</v>
      </c>
      <c r="B23" s="3" t="inlineStr">
        <is>
          <t>Шайба дистанционная Ø220</t>
        </is>
      </c>
      <c r="C23" s="3" t="inlineStr">
        <is>
          <t>23753/2a</t>
        </is>
      </c>
      <c r="D23" s="3" t="inlineStr">
        <is>
          <t>G-CuZn35Al1</t>
        </is>
      </c>
      <c r="E23" s="3" t="n">
        <v>18</v>
      </c>
      <c r="F23" s="4" t="n">
        <v>128.4</v>
      </c>
      <c r="G23" s="5">
        <f>ROUND(E23*F23,2)</f>
        <v/>
      </c>
      <c r="H23" s="3" t="inlineStr">
        <is>
          <t>~40 дней</t>
        </is>
      </c>
    </row>
    <row r="24">
      <c r="A24" s="3" t="n">
        <v>48</v>
      </c>
      <c r="B24" s="3" t="inlineStr">
        <is>
          <t>Шайба дистанционная Ø264</t>
        </is>
      </c>
      <c r="C24" s="3" t="inlineStr">
        <is>
          <t>23751/2a</t>
        </is>
      </c>
      <c r="D24" s="3" t="inlineStr">
        <is>
          <t>G-CuZn35Al1</t>
        </is>
      </c>
      <c r="E24" s="3" t="n">
        <v>18</v>
      </c>
      <c r="F24" s="4" t="n">
        <v>214</v>
      </c>
      <c r="G24" s="5">
        <f>ROUND(E24*F24,2)</f>
        <v/>
      </c>
      <c r="H24" s="3" t="inlineStr">
        <is>
          <t>~40 дней</t>
        </is>
      </c>
    </row>
    <row r="25">
      <c r="F25" s="6" t="inlineStr">
        <is>
          <t>ИТОГО:</t>
        </is>
      </c>
      <c r="G25" s="7">
        <f>SUM(G5:G24)</f>
        <v/>
      </c>
    </row>
    <row r="27">
      <c r="A27" s="8" t="inlineStr">
        <is>
          <t>Условия:</t>
        </is>
      </c>
    </row>
    <row r="28">
      <c r="A28" s="9" t="inlineStr">
        <is>
          <t>• Цены в CNY, включают НДС 13% (специальный VAT-инвойс).</t>
        </is>
      </c>
    </row>
    <row r="29">
      <c r="A29" s="9" t="inlineStr">
        <is>
          <t>• Базис EXW завод-изготовитель, без доставки.</t>
        </is>
      </c>
    </row>
    <row r="30">
      <c r="A30" s="9" t="inlineStr">
        <is>
          <t>• Изготовление строго по чертежам заказчика; сертификаты на материал; маркировка номером чертежа; проверка перед отгрузкой.</t>
        </is>
      </c>
    </row>
    <row r="31">
      <c r="A31" s="9" t="inlineStr">
        <is>
          <t>• Сроки изготовления — с даты аванса, ориентировочные.</t>
        </is>
      </c>
    </row>
    <row r="32">
      <c r="A32" s="9" t="inlineStr">
        <is>
          <t>* Наличие на складе уточняется.</t>
        </is>
      </c>
    </row>
    <row r="33">
      <c r="A33" s="9" t="inlineStr">
        <is>
          <t>** По чертежу St50K (E295); завод предлагает сталь 45 — требуется согласование заказчика.</t>
        </is>
      </c>
    </row>
    <row r="34">
      <c r="A34" s="9" t="inlineStr">
        <is>
          <t>Поз. 36: маркировка номером клети/вала — требуется нумерация от заказчика.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2026-10-24T11:49:31Z</dcterms:created>
  <dcterms:modified xmlns:dcterms="http://purl.org/dc/terms/" xmlns:xsi="http://www.w3.org/2001/XMLSchema-instance" xsi:type="dcterms:W3CDTF">2026-10-24T11:49:31Z</dcterms:modified>
</cp:coreProperties>
</file>