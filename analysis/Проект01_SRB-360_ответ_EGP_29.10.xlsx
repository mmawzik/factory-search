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FFER采购清单26项" sheetId="1" state="visible" r:id="rId1"/>
    <sheet xmlns:r="http://schemas.openxmlformats.org/officeDocument/2006/relationships" name="Для OFFER (RU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Noto Sans CJK SC"/>
      <family val="2"/>
      <b val="1"/>
      <color rgb="FFC00000"/>
      <sz val="10"/>
    </font>
    <font>
      <name val="Arial"/>
      <charset val="1"/>
      <family val="0"/>
      <b val="1"/>
      <color rgb="FFC0000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color rgb="FF0000FF"/>
      <sz val="10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5911"/>
        <bgColor rgb="FF993300"/>
      </patternFill>
    </fill>
    <fill>
      <patternFill patternType="solid">
        <fgColor rgb="FFFCE4D6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CE4D6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general" vertical="center" wrapText="1"/>
    </xf>
    <xf numFmtId="4" fontId="12" fillId="4" borderId="1" applyAlignment="1" pivotButton="0" quotePrefix="0" xfId="0">
      <alignment horizontal="general" vertical="center" wrapText="1"/>
    </xf>
    <xf numFmtId="4" fontId="10" fillId="4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4" fontId="14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general" vertical="center" wrapText="1"/>
    </xf>
    <xf numFmtId="4" fontId="12" fillId="4" borderId="1" applyAlignment="1" pivotButton="0" quotePrefix="0" xfId="0">
      <alignment horizontal="general" vertical="center" wrapText="1"/>
    </xf>
    <xf numFmtId="4" fontId="10" fillId="4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14" fillId="6" borderId="1" applyAlignment="1" pivotButton="0" quotePrefix="0" xfId="0">
      <alignment horizontal="general" vertical="bottom"/>
    </xf>
    <xf numFmtId="4" fontId="14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2" min="1" max="1"/>
    <col width="26" customWidth="1" style="22" min="2" max="2"/>
    <col width="34" customWidth="1" style="22" min="3" max="3"/>
    <col width="20" customWidth="1" style="22" min="4" max="4"/>
    <col width="16" customWidth="1" style="22" min="5" max="5"/>
    <col width="7" customWidth="1" style="22" min="6" max="6"/>
    <col width="12" customWidth="1" style="22" min="7" max="8"/>
    <col width="16" customWidth="1" style="22" min="9" max="9"/>
    <col width="44" customWidth="1" style="22" min="10" max="10"/>
  </cols>
  <sheetData>
    <row r="1" ht="21.6" customHeight="1" s="23">
      <c r="A1" s="24" t="inlineStr">
        <is>
          <t>项目01 SRB-360：OFFER（East Gate Partners Co., Ltd，广州）采购清单（26 项 = 已报价最低 19 项 + 待报价标准件 7 项）</t>
        </is>
      </c>
    </row>
    <row r="2" ht="15" customHeight="1" s="23">
      <c r="A2" s="25" t="inlineStr">
        <is>
          <t>依据 OFFER 10-23 报价单及 10-24 新报价单（价格相同，补充材质）。OFFER 报价均为含 13% 税价；OFFER 为 EXW 工厂交货（不含运费），交期自预付款日起。</t>
        </is>
      </c>
    </row>
    <row r="4" ht="36" customHeight="1" s="23">
      <c r="A4" s="26" t="inlineStr">
        <is>
          <t>原表序号</t>
        </is>
      </c>
      <c r="B4" s="26" t="inlineStr">
        <is>
          <t>中文名称</t>
        </is>
      </c>
      <c r="C4" s="26" t="inlineStr">
        <is>
          <t>俄文名称</t>
        </is>
      </c>
      <c r="D4" s="26" t="inlineStr">
        <is>
          <t>图号 / 规格</t>
        </is>
      </c>
      <c r="E4" s="27" t="inlineStr">
        <is>
          <t>OFFER 材质</t>
        </is>
      </c>
      <c r="F4" s="26" t="inlineStr">
        <is>
          <t>数量</t>
        </is>
      </c>
      <c r="G4" s="27" t="inlineStr">
        <is>
          <t>OFFER 含税单价</t>
        </is>
      </c>
      <c r="H4" s="27" t="inlineStr">
        <is>
          <t>OFFER 总价</t>
        </is>
      </c>
      <c r="I4" s="27" t="inlineStr">
        <is>
          <t>OFFER 交货期</t>
        </is>
      </c>
      <c r="J4" s="26" t="inlineStr">
        <is>
          <t>注意</t>
        </is>
      </c>
    </row>
    <row r="5" ht="29.85" customHeight="1" s="23">
      <c r="A5" s="28" t="n">
        <v>5</v>
      </c>
      <c r="B5" s="29" t="inlineStr">
        <is>
          <t>轴用弹性挡圈 d150</t>
        </is>
      </c>
      <c r="C5" s="30" t="inlineStr">
        <is>
          <t>Кольцо стопорное d150 DIN 471</t>
        </is>
      </c>
      <c r="D5" s="30" t="inlineStr">
        <is>
          <t>DIN 471</t>
        </is>
      </c>
      <c r="E5" s="31" t="n"/>
      <c r="F5" s="28" t="n">
        <v>21</v>
      </c>
      <c r="G5" s="32" t="n"/>
      <c r="H5" s="33">
        <f>IF(G5="","",F5*G5)</f>
        <v/>
      </c>
      <c r="I5" s="34" t="inlineStr">
        <is>
          <t>待报价</t>
        </is>
      </c>
      <c r="J5" s="35" t="inlineStr">
        <is>
          <t>OFFER 未报价，请补报（要求：弹簧钢 C75S / 65Mn）</t>
        </is>
      </c>
    </row>
    <row r="6" ht="29.85" customHeight="1" s="23">
      <c r="A6" s="28" t="n">
        <v>6</v>
      </c>
      <c r="B6" s="29" t="inlineStr">
        <is>
          <t>内六角圆柱头螺钉 M10×90，12.9级</t>
        </is>
      </c>
      <c r="C6" s="30" t="inlineStr">
        <is>
          <t>Винт M10x90 DIN 912 (ГОСТ 11738-84) кл.пр. 12.9</t>
        </is>
      </c>
      <c r="D6" s="30" t="inlineStr">
        <is>
          <t>DIN 912 / ГОСТ 11738-84</t>
        </is>
      </c>
      <c r="E6" s="31" t="inlineStr">
        <is>
          <t>Сталь 12.9</t>
        </is>
      </c>
      <c r="F6" s="28" t="n">
        <v>300</v>
      </c>
      <c r="G6" s="32" t="n">
        <v>0.674</v>
      </c>
      <c r="H6" s="33">
        <f>IF(G6="","",F6*G6)</f>
        <v/>
      </c>
      <c r="I6" s="34" t="inlineStr">
        <is>
          <t>待定</t>
        </is>
      </c>
      <c r="J6" s="30" t="n"/>
    </row>
    <row r="7" ht="29.85" customHeight="1" s="23">
      <c r="A7" s="28" t="n">
        <v>7</v>
      </c>
      <c r="B7" s="29" t="inlineStr">
        <is>
          <t>内六角圆柱头螺钉 M8×16，12.9级，S6</t>
        </is>
      </c>
      <c r="C7" s="30" t="inlineStr">
        <is>
          <t>Винт M8x16 DIN 912 кл.пр. 12.9, S6</t>
        </is>
      </c>
      <c r="D7" s="30" t="inlineStr">
        <is>
          <t>DIN 912</t>
        </is>
      </c>
      <c r="E7" s="31" t="inlineStr">
        <is>
          <t>Сталь 12.9</t>
        </is>
      </c>
      <c r="F7" s="28" t="n">
        <v>300</v>
      </c>
      <c r="G7" s="32" t="n">
        <v>0.139</v>
      </c>
      <c r="H7" s="33">
        <f>IF(G7="","",F7*G7)</f>
        <v/>
      </c>
      <c r="I7" s="34" t="inlineStr">
        <is>
          <t>待定</t>
        </is>
      </c>
      <c r="J7" s="30" t="n"/>
    </row>
    <row r="8" ht="29.85" customHeight="1" s="23">
      <c r="A8" s="28" t="n">
        <v>8</v>
      </c>
      <c r="B8" s="29" t="inlineStr">
        <is>
          <t>内六角圆柱头螺钉 M8×20，10.9级，S6</t>
        </is>
      </c>
      <c r="C8" s="30" t="inlineStr">
        <is>
          <t>Винт M8x20 DIN 912 кл.пр. 10.9, S6</t>
        </is>
      </c>
      <c r="D8" s="30" t="inlineStr">
        <is>
          <t>DIN 912</t>
        </is>
      </c>
      <c r="E8" s="31" t="n"/>
      <c r="F8" s="28" t="n">
        <v>300</v>
      </c>
      <c r="G8" s="32" t="n"/>
      <c r="H8" s="33">
        <f>IF(G8="","",F8*G8)</f>
        <v/>
      </c>
      <c r="I8" s="34" t="inlineStr">
        <is>
          <t>待报价</t>
        </is>
      </c>
      <c r="J8" s="35" t="inlineStr">
        <is>
          <t>OFFER 未报价，请补报（要求：10.9 级合金钢）</t>
        </is>
      </c>
    </row>
    <row r="9" ht="29.85" customHeight="1" s="23">
      <c r="A9" s="28" t="n">
        <v>9</v>
      </c>
      <c r="B9" s="29" t="inlineStr">
        <is>
          <t>内六角圆柱头螺钉 M8×70，12.9级，S6</t>
        </is>
      </c>
      <c r="C9" s="30" t="inlineStr">
        <is>
          <t>Винт M8x70 DIN 912 кл.пр. 12.9, S6</t>
        </is>
      </c>
      <c r="D9" s="30" t="inlineStr">
        <is>
          <t>DIN 912</t>
        </is>
      </c>
      <c r="E9" s="31" t="inlineStr">
        <is>
          <t>Сталь 12.9</t>
        </is>
      </c>
      <c r="F9" s="28" t="n">
        <v>300</v>
      </c>
      <c r="G9" s="32" t="n">
        <v>0.364</v>
      </c>
      <c r="H9" s="33">
        <f>IF(G9="","",F9*G9)</f>
        <v/>
      </c>
      <c r="I9" s="34" t="inlineStr">
        <is>
          <t>待定</t>
        </is>
      </c>
      <c r="J9" s="30" t="n"/>
    </row>
    <row r="10" ht="29.85" customHeight="1" s="23">
      <c r="A10" s="28" t="n">
        <v>10</v>
      </c>
      <c r="B10" s="29" t="inlineStr">
        <is>
          <t>内六角圆柱头螺钉 M10×80，12.9级</t>
        </is>
      </c>
      <c r="C10" s="30" t="inlineStr">
        <is>
          <t>Винт M10x80 DIN 912 кл.пр. 12.9</t>
        </is>
      </c>
      <c r="D10" s="30" t="inlineStr">
        <is>
          <t>DIN 912</t>
        </is>
      </c>
      <c r="E10" s="31" t="n"/>
      <c r="F10" s="28" t="n">
        <v>300</v>
      </c>
      <c r="G10" s="32" t="n"/>
      <c r="H10" s="33">
        <f>IF(G10="","",F10*G10)</f>
        <v/>
      </c>
      <c r="I10" s="34" t="inlineStr">
        <is>
          <t>待报价</t>
        </is>
      </c>
      <c r="J10" s="35" t="inlineStr">
        <is>
          <t>OFFER 未报价，请补报（要求：12.9 级合金钢）</t>
        </is>
      </c>
    </row>
    <row r="11" ht="29.85" customHeight="1" s="23">
      <c r="A11" s="28" t="n">
        <v>11</v>
      </c>
      <c r="B11" s="29" t="inlineStr">
        <is>
          <t>内六角圆柱头螺钉 M12×25，12.9级</t>
        </is>
      </c>
      <c r="C11" s="30" t="inlineStr">
        <is>
          <t>Винт M12x25 DIN 912 кл.пр. 12.9</t>
        </is>
      </c>
      <c r="D11" s="30" t="inlineStr">
        <is>
          <t>DIN 912</t>
        </is>
      </c>
      <c r="E11" s="31" t="n"/>
      <c r="F11" s="28" t="n">
        <v>300</v>
      </c>
      <c r="G11" s="32" t="n"/>
      <c r="H11" s="33">
        <f>IF(G11="","",F11*G11)</f>
        <v/>
      </c>
      <c r="I11" s="34" t="inlineStr">
        <is>
          <t>待报价</t>
        </is>
      </c>
      <c r="J11" s="35" t="inlineStr">
        <is>
          <t>OFFER 未报价，请补报（要求：12.9 级合金钢）</t>
        </is>
      </c>
    </row>
    <row r="12" ht="15" customHeight="1" s="23">
      <c r="A12" s="28" t="n">
        <v>12</v>
      </c>
      <c r="B12" s="29" t="inlineStr">
        <is>
          <t>六角螺母 M10，8级</t>
        </is>
      </c>
      <c r="C12" s="30" t="inlineStr">
        <is>
          <t>Гайка M10 ГОСТ 5915-70 кл.пр. 8</t>
        </is>
      </c>
      <c r="D12" s="30" t="inlineStr">
        <is>
          <t>ГОСТ 5915-70</t>
        </is>
      </c>
      <c r="E12" s="31" t="inlineStr">
        <is>
          <t>Сталь кл. 8</t>
        </is>
      </c>
      <c r="F12" s="28" t="n">
        <v>300</v>
      </c>
      <c r="G12" s="32" t="n">
        <v>0.032</v>
      </c>
      <c r="H12" s="33">
        <f>IF(G12="","",F12*G12)</f>
        <v/>
      </c>
      <c r="I12" s="34" t="inlineStr">
        <is>
          <t>待定</t>
        </is>
      </c>
      <c r="J12" s="30" t="n"/>
    </row>
    <row r="13" ht="15" customHeight="1" s="23">
      <c r="A13" s="28" t="n">
        <v>13</v>
      </c>
      <c r="B13" s="29" t="inlineStr">
        <is>
          <t>六角螺母 M12，8级</t>
        </is>
      </c>
      <c r="C13" s="30" t="inlineStr">
        <is>
          <t>Гайка M12 ГОСТ 5915-70 кл.пр. 8</t>
        </is>
      </c>
      <c r="D13" s="30" t="inlineStr">
        <is>
          <t>ГОСТ 5915-70</t>
        </is>
      </c>
      <c r="E13" s="31" t="inlineStr">
        <is>
          <t>Сталь кл. 8</t>
        </is>
      </c>
      <c r="F13" s="28" t="n">
        <v>300</v>
      </c>
      <c r="G13" s="32" t="n">
        <v>0.043</v>
      </c>
      <c r="H13" s="33">
        <f>IF(G13="","",F13*G13)</f>
        <v/>
      </c>
      <c r="I13" s="34" t="inlineStr">
        <is>
          <t>待定</t>
        </is>
      </c>
      <c r="J13" s="30" t="n"/>
    </row>
    <row r="14" ht="29.85" customHeight="1" s="23">
      <c r="A14" s="28" t="n">
        <v>14</v>
      </c>
      <c r="B14" s="29" t="inlineStr">
        <is>
          <t>内六角圆柱头螺钉 M10×25，12.9级</t>
        </is>
      </c>
      <c r="C14" s="30" t="inlineStr">
        <is>
          <t>Винт M10x25 DIN 912 (ГОСТ 11738-84) кл.пр. 12.9</t>
        </is>
      </c>
      <c r="D14" s="30" t="inlineStr">
        <is>
          <t>DIN 912 / ГОСТ 11738-84</t>
        </is>
      </c>
      <c r="E14" s="31" t="n"/>
      <c r="F14" s="28" t="n">
        <v>300</v>
      </c>
      <c r="G14" s="32" t="n"/>
      <c r="H14" s="33">
        <f>IF(G14="","",F14*G14)</f>
        <v/>
      </c>
      <c r="I14" s="34" t="inlineStr">
        <is>
          <t>待报价</t>
        </is>
      </c>
      <c r="J14" s="35" t="inlineStr">
        <is>
          <t>OFFER 未报价，请补报（要求：12.9 级合金钢）</t>
        </is>
      </c>
    </row>
    <row r="15" ht="15" customHeight="1" s="23">
      <c r="A15" s="28" t="n">
        <v>17</v>
      </c>
      <c r="B15" s="29" t="inlineStr">
        <is>
          <t>精密锁紧螺母 KMT 20</t>
        </is>
      </c>
      <c r="C15" s="30" t="inlineStr">
        <is>
          <t>Гайка KMT 20 (M100x2)</t>
        </is>
      </c>
      <c r="D15" s="30" t="inlineStr">
        <is>
          <t>KMT-20</t>
        </is>
      </c>
      <c r="E15" s="31" t="inlineStr">
        <is>
          <t>Сталь 45</t>
        </is>
      </c>
      <c r="F15" s="28" t="n">
        <v>27</v>
      </c>
      <c r="G15" s="32" t="n">
        <v>188.32</v>
      </c>
      <c r="H15" s="33">
        <f>IF(G15="","",F15*G15)</f>
        <v/>
      </c>
      <c r="I15" s="34" t="inlineStr">
        <is>
          <t>现货（待确认）</t>
        </is>
      </c>
      <c r="J15" s="30" t="n"/>
    </row>
    <row r="16" ht="29.85" customHeight="1" s="23">
      <c r="A16" s="28" t="n">
        <v>18</v>
      </c>
      <c r="B16" s="29" t="inlineStr">
        <is>
          <t>精密锁紧螺母 KMT 24</t>
        </is>
      </c>
      <c r="C16" s="30" t="inlineStr">
        <is>
          <t>Гайка KMT 24 (M120x2)</t>
        </is>
      </c>
      <c r="D16" s="30" t="inlineStr">
        <is>
          <t>KMT-24</t>
        </is>
      </c>
      <c r="E16" s="31" t="inlineStr">
        <is>
          <t>Сталь 45</t>
        </is>
      </c>
      <c r="F16" s="28" t="n">
        <v>27</v>
      </c>
      <c r="G16" s="32" t="n">
        <v>231.12</v>
      </c>
      <c r="H16" s="33">
        <f>IF(G16="","",F16*G16)</f>
        <v/>
      </c>
      <c r="I16" s="34" t="inlineStr">
        <is>
          <t>现货（待确认）</t>
        </is>
      </c>
      <c r="J16" s="35" t="inlineStr">
        <is>
          <t>OFFER 报的是 SKF 标准件，不含按 Wellenmutter 图二次加工</t>
        </is>
      </c>
    </row>
    <row r="17" ht="15" customHeight="1" s="23">
      <c r="A17" s="28" t="n">
        <v>20</v>
      </c>
      <c r="B17" s="29" t="inlineStr">
        <is>
          <t>精密锁紧螺母 KMT 28</t>
        </is>
      </c>
      <c r="C17" s="30" t="inlineStr">
        <is>
          <t>Гайка KMT 28 (M140x2)</t>
        </is>
      </c>
      <c r="D17" s="30" t="inlineStr">
        <is>
          <t>KMT-28</t>
        </is>
      </c>
      <c r="E17" s="31" t="inlineStr">
        <is>
          <t>Сталь 45</t>
        </is>
      </c>
      <c r="F17" s="28" t="n">
        <v>12</v>
      </c>
      <c r="G17" s="32" t="n">
        <v>265.36</v>
      </c>
      <c r="H17" s="33">
        <f>IF(G17="","",F17*G17)</f>
        <v/>
      </c>
      <c r="I17" s="34" t="inlineStr">
        <is>
          <t>现货（待确认）</t>
        </is>
      </c>
      <c r="J17" s="30" t="n"/>
    </row>
    <row r="18" ht="15" customHeight="1" s="23">
      <c r="A18" s="28" t="n">
        <v>21</v>
      </c>
      <c r="B18" s="29" t="inlineStr">
        <is>
          <t>精密锁紧螺母 KMT 32</t>
        </is>
      </c>
      <c r="C18" s="30" t="inlineStr">
        <is>
          <t>Гайка KMT 32 (M160x3)</t>
        </is>
      </c>
      <c r="D18" s="30" t="inlineStr">
        <is>
          <t>KMT-32</t>
        </is>
      </c>
      <c r="E18" s="31" t="inlineStr">
        <is>
          <t>Сталь 45</t>
        </is>
      </c>
      <c r="F18" s="28" t="n">
        <v>12</v>
      </c>
      <c r="G18" s="32" t="n">
        <v>341.33</v>
      </c>
      <c r="H18" s="33">
        <f>IF(G18="","",F18*G18)</f>
        <v/>
      </c>
      <c r="I18" s="34" t="inlineStr">
        <is>
          <t>现货（待确认）</t>
        </is>
      </c>
      <c r="J18" s="30" t="n"/>
    </row>
    <row r="19" ht="29.85" customHeight="1" s="23">
      <c r="A19" s="28" t="n">
        <v>31</v>
      </c>
      <c r="B19" s="30" t="inlineStr">
        <is>
          <t>O型密封圈 NBR70，外径273/内径265/线径4 mm</t>
        </is>
      </c>
      <c r="C19" s="30" t="inlineStr">
        <is>
          <t>Кольцо уплотнительное NBR70, 273×265×4 мм</t>
        </is>
      </c>
      <c r="D19" s="30" t="inlineStr">
        <is>
          <t>NBR70 273×265×4</t>
        </is>
      </c>
      <c r="E19" s="31" t="n"/>
      <c r="F19" s="28" t="n">
        <v>30</v>
      </c>
      <c r="G19" s="32" t="n"/>
      <c r="H19" s="33">
        <f>IF(G19="","",F19*G19)</f>
        <v/>
      </c>
      <c r="I19" s="34" t="inlineStr">
        <is>
          <t>待报价</t>
        </is>
      </c>
      <c r="J19" s="35" t="inlineStr">
        <is>
          <t>OFFER 未报价，请补报（要求：NBR70，70±5 Shore A）</t>
        </is>
      </c>
    </row>
    <row r="20" ht="29.85" customHeight="1" s="23">
      <c r="A20" s="28" t="n">
        <v>32</v>
      </c>
      <c r="B20" s="29" t="inlineStr">
        <is>
          <t>轴用弹性挡圈 d180</t>
        </is>
      </c>
      <c r="C20" s="30" t="inlineStr">
        <is>
          <t>Кольцо стопорное d180 DIN 471</t>
        </is>
      </c>
      <c r="D20" s="30" t="inlineStr">
        <is>
          <t>DIN 471</t>
        </is>
      </c>
      <c r="E20" s="31" t="n"/>
      <c r="F20" s="28" t="n">
        <v>12</v>
      </c>
      <c r="G20" s="32" t="n"/>
      <c r="H20" s="33">
        <f>IF(G20="","",F20*G20)</f>
        <v/>
      </c>
      <c r="I20" s="34" t="inlineStr">
        <is>
          <t>待报价</t>
        </is>
      </c>
      <c r="J20" s="35" t="inlineStr">
        <is>
          <t>OFFER 未报价，请补报（要求：弹簧钢 C75S / 65Mn）</t>
        </is>
      </c>
    </row>
    <row r="21" ht="15" customHeight="1" s="23">
      <c r="A21" s="28" t="n">
        <v>35</v>
      </c>
      <c r="B21" s="29" t="inlineStr">
        <is>
          <t>外迷宫环</t>
        </is>
      </c>
      <c r="C21" s="30" t="inlineStr">
        <is>
          <t>Кольцо лабиринта внешнее</t>
        </is>
      </c>
      <c r="D21" s="30" t="inlineStr">
        <is>
          <t>23916/2</t>
        </is>
      </c>
      <c r="E21" s="31" t="inlineStr">
        <is>
          <t>EN AW-1050A</t>
        </is>
      </c>
      <c r="F21" s="28" t="n">
        <v>15</v>
      </c>
      <c r="G21" s="32" t="n">
        <v>178.34</v>
      </c>
      <c r="H21" s="33">
        <f>IF(G21="","",F21*G21)</f>
        <v/>
      </c>
      <c r="I21" s="34" t="inlineStr">
        <is>
          <t>约 30 天</t>
        </is>
      </c>
      <c r="J21" s="30" t="n"/>
    </row>
    <row r="22" ht="15" customHeight="1" s="23">
      <c r="A22" s="28" t="n">
        <v>36</v>
      </c>
      <c r="B22" s="29" t="inlineStr">
        <is>
          <t>内迷宫环</t>
        </is>
      </c>
      <c r="C22" s="30" t="inlineStr">
        <is>
          <t>Кольцо лабиринта внутреннее</t>
        </is>
      </c>
      <c r="D22" s="30" t="inlineStr">
        <is>
          <t>23915/2</t>
        </is>
      </c>
      <c r="E22" s="31" t="inlineStr">
        <is>
          <t>EN AW-1050A</t>
        </is>
      </c>
      <c r="F22" s="28" t="n">
        <v>15</v>
      </c>
      <c r="G22" s="32" t="n">
        <v>178.34</v>
      </c>
      <c r="H22" s="33">
        <f>IF(G22="","",F22*G22)</f>
        <v/>
      </c>
      <c r="I22" s="34" t="inlineStr">
        <is>
          <t>约 30 天</t>
        </is>
      </c>
      <c r="J22" s="30" t="n"/>
    </row>
    <row r="23" ht="15" customHeight="1" s="23">
      <c r="A23" s="28" t="n">
        <v>38</v>
      </c>
      <c r="B23" s="29" t="inlineStr">
        <is>
          <t>调整环 φ217</t>
        </is>
      </c>
      <c r="C23" s="30" t="inlineStr">
        <is>
          <t>Кольцо регулировочное Ø217</t>
        </is>
      </c>
      <c r="D23" s="30" t="inlineStr">
        <is>
          <t>23750/2b</t>
        </is>
      </c>
      <c r="E23" s="31" t="inlineStr">
        <is>
          <t>CuZn35Al1</t>
        </is>
      </c>
      <c r="F23" s="28" t="n">
        <v>19</v>
      </c>
      <c r="G23" s="32" t="n">
        <v>107</v>
      </c>
      <c r="H23" s="33">
        <f>IF(G23="","",F23*G23)</f>
        <v/>
      </c>
      <c r="I23" s="36" t="inlineStr">
        <is>
          <t>40 天</t>
        </is>
      </c>
      <c r="J23" s="35" t="inlineStr">
        <is>
          <t>OFFER 要求客户提供机架/轴编号用于打标记</t>
        </is>
      </c>
    </row>
    <row r="24" ht="15" customHeight="1" s="23">
      <c r="A24" s="28" t="n">
        <v>39</v>
      </c>
      <c r="B24" s="29" t="inlineStr">
        <is>
          <t>调整环 φ260</t>
        </is>
      </c>
      <c r="C24" s="30" t="inlineStr">
        <is>
          <t>Кольцо регулировочное Ø260</t>
        </is>
      </c>
      <c r="D24" s="30" t="inlineStr">
        <is>
          <t>23749/2d</t>
        </is>
      </c>
      <c r="E24" s="31" t="inlineStr">
        <is>
          <t>CuZn35Al1</t>
        </is>
      </c>
      <c r="F24" s="28" t="n">
        <v>18</v>
      </c>
      <c r="G24" s="32" t="n">
        <v>171.2</v>
      </c>
      <c r="H24" s="33">
        <f>IF(G24="","",F24*G24)</f>
        <v/>
      </c>
      <c r="I24" s="36" t="inlineStr">
        <is>
          <t>40 天</t>
        </is>
      </c>
      <c r="J24" s="30" t="n"/>
    </row>
    <row r="25" ht="15" customHeight="1" s="23">
      <c r="A25" s="28" t="n">
        <v>40</v>
      </c>
      <c r="B25" s="29" t="inlineStr">
        <is>
          <t>圆柱销 Ø10×35</t>
        </is>
      </c>
      <c r="C25" s="30" t="inlineStr">
        <is>
          <t>Штифт цилиндрический Ø10x35</t>
        </is>
      </c>
      <c r="D25" s="30" t="inlineStr">
        <is>
          <t>58672/4a</t>
        </is>
      </c>
      <c r="E25" s="31" t="inlineStr">
        <is>
          <t>St50K / сталь 45</t>
        </is>
      </c>
      <c r="F25" s="28" t="n">
        <v>18</v>
      </c>
      <c r="G25" s="32" t="n">
        <v>43.93</v>
      </c>
      <c r="H25" s="33">
        <f>IF(G25="","",F25*G25)</f>
        <v/>
      </c>
      <c r="I25" s="34" t="inlineStr">
        <is>
          <t>约 30 天</t>
        </is>
      </c>
      <c r="J25" s="35" t="inlineStr">
        <is>
          <t>OFFER 拟用 45 钢代替图纸 St50K，需客户同意</t>
        </is>
      </c>
    </row>
    <row r="26" ht="15" customHeight="1" s="23">
      <c r="A26" s="28" t="n">
        <v>41</v>
      </c>
      <c r="B26" s="29" t="inlineStr">
        <is>
          <t>圆柱销 Ø14×45</t>
        </is>
      </c>
      <c r="C26" s="30" t="inlineStr">
        <is>
          <t>Штифт цилиндрический Ø14x45</t>
        </is>
      </c>
      <c r="D26" s="30" t="inlineStr">
        <is>
          <t>58741/4</t>
        </is>
      </c>
      <c r="E26" s="31" t="inlineStr">
        <is>
          <t>St50K / сталь 45</t>
        </is>
      </c>
      <c r="F26" s="28" t="n">
        <v>18</v>
      </c>
      <c r="G26" s="32" t="n">
        <v>43.93</v>
      </c>
      <c r="H26" s="33">
        <f>IF(G26="","",F26*G26)</f>
        <v/>
      </c>
      <c r="I26" s="34" t="inlineStr">
        <is>
          <t>约 30 天</t>
        </is>
      </c>
      <c r="J26" s="35" t="inlineStr">
        <is>
          <t>OFFER 拟用 45 钢代替图纸 St50K，需客户同意</t>
        </is>
      </c>
    </row>
    <row r="27" ht="15" customHeight="1" s="23">
      <c r="A27" s="28" t="n">
        <v>42</v>
      </c>
      <c r="B27" s="29" t="inlineStr">
        <is>
          <t>圆柱销 Ø10×32</t>
        </is>
      </c>
      <c r="C27" s="30" t="inlineStr">
        <is>
          <t>Штифт цилиндрический Ø10x32</t>
        </is>
      </c>
      <c r="D27" s="30" t="inlineStr">
        <is>
          <t>57931/4a</t>
        </is>
      </c>
      <c r="E27" s="31" t="inlineStr">
        <is>
          <t>St50K / сталь 45</t>
        </is>
      </c>
      <c r="F27" s="28" t="n">
        <v>18</v>
      </c>
      <c r="G27" s="32" t="n">
        <v>43.93</v>
      </c>
      <c r="H27" s="33">
        <f>IF(G27="","",F27*G27)</f>
        <v/>
      </c>
      <c r="I27" s="34" t="inlineStr">
        <is>
          <t>约 30 天</t>
        </is>
      </c>
      <c r="J27" s="35" t="inlineStr">
        <is>
          <t>OFFER 拟用 45 钢代替图纸 St50K，需客户同意</t>
        </is>
      </c>
    </row>
    <row r="28" ht="15" customHeight="1" s="23">
      <c r="A28" s="28" t="n">
        <v>48</v>
      </c>
      <c r="B28" s="29" t="inlineStr">
        <is>
          <t>调整环 φ335</t>
        </is>
      </c>
      <c r="C28" s="30" t="inlineStr">
        <is>
          <t>Кольцо регулировочное Ø335</t>
        </is>
      </c>
      <c r="D28" s="30" t="inlineStr">
        <is>
          <t>28078/3</t>
        </is>
      </c>
      <c r="E28" s="31" t="inlineStr">
        <is>
          <t>G-CuZn35Al1</t>
        </is>
      </c>
      <c r="F28" s="28" t="n">
        <v>18</v>
      </c>
      <c r="G28" s="32" t="n">
        <v>481.5</v>
      </c>
      <c r="H28" s="33">
        <f>IF(G28="","",F28*G28)</f>
        <v/>
      </c>
      <c r="I28" s="36" t="inlineStr">
        <is>
          <t>40 天</t>
        </is>
      </c>
      <c r="J28" s="35" t="inlineStr">
        <is>
          <t>OFFER 图号写 28078/3a，清单为 28078/3，版本待核</t>
        </is>
      </c>
    </row>
    <row r="29" ht="15" customHeight="1" s="23">
      <c r="A29" s="28" t="n">
        <v>49</v>
      </c>
      <c r="B29" s="29" t="inlineStr">
        <is>
          <t>调整环 φ220</t>
        </is>
      </c>
      <c r="C29" s="30" t="inlineStr">
        <is>
          <t>Кольцо регулировочное Ø220</t>
        </is>
      </c>
      <c r="D29" s="30" t="inlineStr">
        <is>
          <t>23753/2a</t>
        </is>
      </c>
      <c r="E29" s="31" t="inlineStr">
        <is>
          <t>G-CuZn35Al1</t>
        </is>
      </c>
      <c r="F29" s="28" t="n">
        <v>18</v>
      </c>
      <c r="G29" s="32" t="n">
        <v>128.4</v>
      </c>
      <c r="H29" s="33">
        <f>IF(G29="","",F29*G29)</f>
        <v/>
      </c>
      <c r="I29" s="36" t="inlineStr">
        <is>
          <t>40 天</t>
        </is>
      </c>
      <c r="J29" s="30" t="n"/>
    </row>
    <row r="30" ht="15" customHeight="1" s="23">
      <c r="A30" s="28" t="n">
        <v>50</v>
      </c>
      <c r="B30" s="29" t="inlineStr">
        <is>
          <t>调整环 φ264</t>
        </is>
      </c>
      <c r="C30" s="30" t="inlineStr">
        <is>
          <t>Кольцо регулировочное Ø264</t>
        </is>
      </c>
      <c r="D30" s="30" t="inlineStr">
        <is>
          <t>23751/2a</t>
        </is>
      </c>
      <c r="E30" s="31" t="inlineStr">
        <is>
          <t>G-CuZn35Al1</t>
        </is>
      </c>
      <c r="F30" s="28" t="n">
        <v>18</v>
      </c>
      <c r="G30" s="32" t="n">
        <v>214</v>
      </c>
      <c r="H30" s="33">
        <f>IF(G30="","",F30*G30)</f>
        <v/>
      </c>
      <c r="I30" s="36" t="inlineStr">
        <is>
          <t>40 天</t>
        </is>
      </c>
      <c r="J30" s="30" t="n"/>
    </row>
    <row r="31" ht="15" customHeight="1" s="23">
      <c r="A31" s="37" t="inlineStr">
        <is>
          <t>合计</t>
        </is>
      </c>
      <c r="B31" s="38" t="n"/>
      <c r="C31" s="38" t="n"/>
      <c r="D31" s="39" t="n"/>
      <c r="E31" s="40" t="n"/>
      <c r="F31" s="40">
        <f>SUM(F5:F30)</f>
        <v/>
      </c>
      <c r="G31" s="40" t="n"/>
      <c r="H31" s="41">
        <f>SUM(H5:H30)</f>
        <v/>
      </c>
      <c r="I31" s="40" t="n"/>
      <c r="J31" s="40" t="n"/>
    </row>
    <row r="33" ht="15" customHeight="1" s="23">
      <c r="A33" s="42" t="inlineStr">
        <is>
          <t>需要和 OFFER 确认：0）补报 7 项标准件价格（挡圈 d150/d180、螺钉 M8×20/M10×80/M12×25/M10×25、O 型圈 NBR70 273×265×4）；1）是否含包装、运到义乌的费用；2）螺钉螺母交货期；3）KMT 是否真有现货；4）KMT-24 能否按 Wellenmutter 图二次加工；5）φ335 调整环图号版本（28078/3 还是 3a）。需要和客户确认：圆柱销用 45 钢代替 St50K 是否同意；φ217 调整环打标记用的机架/轴编号。</t>
        </is>
      </c>
    </row>
  </sheetData>
  <mergeCells count="1"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2" min="1" max="1"/>
    <col width="36" customWidth="1" style="22" min="2" max="2"/>
    <col width="22" customWidth="1" style="22" min="3" max="3"/>
    <col width="20" customWidth="1" style="22" min="4" max="4"/>
    <col width="10" customWidth="1" style="22" min="5" max="5"/>
    <col width="14" customWidth="1" style="22" min="6" max="7"/>
    <col width="22" customWidth="1" style="22" min="8" max="8"/>
  </cols>
  <sheetData>
    <row r="1" ht="17.35" customHeight="1" s="23">
      <c r="A1" s="43" t="inlineStr">
        <is>
          <t>Проект 01 SRB-360: позиции к заказу у East Gate Partners Co., Ltd (26 поз.: 19 с ценой + 7 стандартных изделий — запрос цены)</t>
        </is>
      </c>
    </row>
    <row r="2" ht="15" customHeight="1" s="23">
      <c r="A2" s="44" t="inlineStr">
        <is>
          <t>По вашим предложениям от 23.10 и 24.10.2026 (цены с НДС 13%, EXW, CNY). Просим подтвердить вопросы ниже.</t>
        </is>
      </c>
    </row>
    <row r="4" ht="36" customHeight="1" s="23">
      <c r="A4" s="27" t="inlineStr">
        <is>
          <t>№ поз.</t>
        </is>
      </c>
      <c r="B4" s="27" t="inlineStr">
        <is>
          <t>Наименование</t>
        </is>
      </c>
      <c r="C4" s="27" t="inlineStr">
        <is>
          <t>Чертёж / стандарт</t>
        </is>
      </c>
      <c r="D4" s="27" t="inlineStr">
        <is>
          <t>Материал</t>
        </is>
      </c>
      <c r="E4" s="27" t="inlineStr">
        <is>
          <t>Кол-во, шт.</t>
        </is>
      </c>
      <c r="F4" s="27" t="inlineStr">
        <is>
          <t>Цена с НДС, CNY</t>
        </is>
      </c>
      <c r="G4" s="27" t="inlineStr">
        <is>
          <t>Сумма с НДС, CNY</t>
        </is>
      </c>
      <c r="H4" s="27" t="inlineStr">
        <is>
          <t>Срок изготовления</t>
        </is>
      </c>
    </row>
    <row r="5" ht="15" customHeight="1" s="23">
      <c r="A5" s="28" t="n">
        <v>5</v>
      </c>
      <c r="B5" s="30" t="inlineStr">
        <is>
          <t>Кольцо стопорное d150 DIN 471</t>
        </is>
      </c>
      <c r="C5" s="30" t="inlineStr">
        <is>
          <t>DIN 471</t>
        </is>
      </c>
      <c r="D5" s="30" t="n"/>
      <c r="E5" s="28" t="n">
        <v>21</v>
      </c>
      <c r="F5" s="45" t="n"/>
      <c r="G5" s="45">
        <f>IF(F5="","",E5*F5)</f>
        <v/>
      </c>
      <c r="H5" s="28" t="inlineStr">
        <is>
          <t>запрос цены</t>
        </is>
      </c>
    </row>
    <row r="6" ht="23.85" customHeight="1" s="23">
      <c r="A6" s="28" t="n">
        <v>6</v>
      </c>
      <c r="B6" s="30" t="inlineStr">
        <is>
          <t>Винт M10x90 DIN 912 (ГОСТ 11738-84) кл.пр. 12.9</t>
        </is>
      </c>
      <c r="C6" s="30" t="inlineStr">
        <is>
          <t>DIN 912 / ГОСТ 11738-84</t>
        </is>
      </c>
      <c r="D6" s="30" t="inlineStr">
        <is>
          <t>Сталь 12.9</t>
        </is>
      </c>
      <c r="E6" s="28" t="n">
        <v>300</v>
      </c>
      <c r="F6" s="45" t="n">
        <v>0.674</v>
      </c>
      <c r="G6" s="45">
        <f>IF(F6="","",E6*F6)</f>
        <v/>
      </c>
      <c r="H6" s="28" t="inlineStr">
        <is>
          <t>в наличии</t>
        </is>
      </c>
    </row>
    <row r="7" ht="15" customHeight="1" s="23">
      <c r="A7" s="28" t="n">
        <v>7</v>
      </c>
      <c r="B7" s="30" t="inlineStr">
        <is>
          <t>Винт M8x16 DIN 912 кл.пр. 12.9, S6</t>
        </is>
      </c>
      <c r="C7" s="30" t="inlineStr">
        <is>
          <t>DIN 912</t>
        </is>
      </c>
      <c r="D7" s="30" t="inlineStr">
        <is>
          <t>Сталь 12.9</t>
        </is>
      </c>
      <c r="E7" s="28" t="n">
        <v>300</v>
      </c>
      <c r="F7" s="45" t="n">
        <v>0.139</v>
      </c>
      <c r="G7" s="45">
        <f>IF(F7="","",E7*F7)</f>
        <v/>
      </c>
      <c r="H7" s="28" t="inlineStr">
        <is>
          <t>в наличии</t>
        </is>
      </c>
    </row>
    <row r="8" ht="15" customHeight="1" s="23">
      <c r="A8" s="28" t="n">
        <v>8</v>
      </c>
      <c r="B8" s="30" t="inlineStr">
        <is>
          <t>Винт M8x20 DIN 912 кл.пр. 10.9, S6</t>
        </is>
      </c>
      <c r="C8" s="30" t="inlineStr">
        <is>
          <t>DIN 912</t>
        </is>
      </c>
      <c r="D8" s="30" t="n"/>
      <c r="E8" s="28" t="n">
        <v>300</v>
      </c>
      <c r="F8" s="45" t="n"/>
      <c r="G8" s="45">
        <f>IF(F8="","",E8*F8)</f>
        <v/>
      </c>
      <c r="H8" s="28" t="inlineStr">
        <is>
          <t>уточняется (кл. 10.9)</t>
        </is>
      </c>
    </row>
    <row r="9" ht="15" customHeight="1" s="23">
      <c r="A9" s="28" t="n">
        <v>9</v>
      </c>
      <c r="B9" s="30" t="inlineStr">
        <is>
          <t>Винт M8x70 DIN 912 кл.пр. 12.9, S6</t>
        </is>
      </c>
      <c r="C9" s="30" t="inlineStr">
        <is>
          <t>DIN 912</t>
        </is>
      </c>
      <c r="D9" s="30" t="inlineStr">
        <is>
          <t>Сталь 12.9</t>
        </is>
      </c>
      <c r="E9" s="28" t="n">
        <v>300</v>
      </c>
      <c r="F9" s="45" t="n">
        <v>0.364</v>
      </c>
      <c r="G9" s="45">
        <f>IF(F9="","",E9*F9)</f>
        <v/>
      </c>
      <c r="H9" s="28" t="inlineStr">
        <is>
          <t>в наличии</t>
        </is>
      </c>
    </row>
    <row r="10" ht="15" customHeight="1" s="23">
      <c r="A10" s="28" t="n">
        <v>10</v>
      </c>
      <c r="B10" s="30" t="inlineStr">
        <is>
          <t>Винт M10x80 DIN 912 кл.пр. 12.9</t>
        </is>
      </c>
      <c r="C10" s="30" t="inlineStr">
        <is>
          <t>DIN 912</t>
        </is>
      </c>
      <c r="D10" s="30" t="inlineStr">
        <is>
          <t>Сталь 12.9</t>
        </is>
      </c>
      <c r="E10" s="28" t="n">
        <v>300</v>
      </c>
      <c r="F10" s="45" t="n">
        <v>0.621</v>
      </c>
      <c r="G10" s="45">
        <f>IF(F10="","",E10*F10)</f>
        <v/>
      </c>
      <c r="H10" s="28" t="inlineStr">
        <is>
          <t>в наличии</t>
        </is>
      </c>
    </row>
    <row r="11" ht="15" customHeight="1" s="23">
      <c r="A11" s="28" t="n">
        <v>11</v>
      </c>
      <c r="B11" s="30" t="inlineStr">
        <is>
          <t>Винт M12x25 DIN 912 кл.пр. 12.9</t>
        </is>
      </c>
      <c r="C11" s="30" t="inlineStr">
        <is>
          <t>DIN 912</t>
        </is>
      </c>
      <c r="D11" s="30" t="inlineStr">
        <is>
          <t>Сталь 12.9</t>
        </is>
      </c>
      <c r="E11" s="28" t="n">
        <v>300</v>
      </c>
      <c r="F11" s="45" t="n">
        <v>0.396</v>
      </c>
      <c r="G11" s="45">
        <f>IF(F11="","",E11*F11)</f>
        <v/>
      </c>
      <c r="H11" s="28" t="inlineStr">
        <is>
          <t>в наличии</t>
        </is>
      </c>
    </row>
    <row r="12" ht="15" customHeight="1" s="23">
      <c r="A12" s="28" t="n">
        <v>12</v>
      </c>
      <c r="B12" s="30" t="inlineStr">
        <is>
          <t>Гайка M10 ГОСТ 5915-70 кл.пр. 8</t>
        </is>
      </c>
      <c r="C12" s="30" t="inlineStr">
        <is>
          <t>ГОСТ 5915-70</t>
        </is>
      </c>
      <c r="D12" s="30" t="inlineStr">
        <is>
          <t>Сталь кл. 8</t>
        </is>
      </c>
      <c r="E12" s="28" t="n">
        <v>300</v>
      </c>
      <c r="F12" s="45" t="n">
        <v>0.032</v>
      </c>
      <c r="G12" s="45">
        <f>IF(F12="","",E12*F12)</f>
        <v/>
      </c>
      <c r="H12" s="28" t="inlineStr">
        <is>
          <t>в наличии</t>
        </is>
      </c>
    </row>
    <row r="13" ht="15" customHeight="1" s="23">
      <c r="A13" s="28" t="n">
        <v>13</v>
      </c>
      <c r="B13" s="30" t="inlineStr">
        <is>
          <t>Гайка M12 ГОСТ 5915-70 кл.пр. 8</t>
        </is>
      </c>
      <c r="C13" s="30" t="inlineStr">
        <is>
          <t>ГОСТ 5915-70</t>
        </is>
      </c>
      <c r="D13" s="30" t="inlineStr">
        <is>
          <t>Сталь кл. 8</t>
        </is>
      </c>
      <c r="E13" s="28" t="n">
        <v>300</v>
      </c>
      <c r="F13" s="45" t="n">
        <v>0.043</v>
      </c>
      <c r="G13" s="45">
        <f>IF(F13="","",E13*F13)</f>
        <v/>
      </c>
      <c r="H13" s="28" t="inlineStr">
        <is>
          <t>в наличии</t>
        </is>
      </c>
    </row>
    <row r="14" ht="23.85" customHeight="1" s="23">
      <c r="A14" s="28" t="n">
        <v>14</v>
      </c>
      <c r="B14" s="30" t="inlineStr">
        <is>
          <t>Винт M10x25 DIN 912 (ГОСТ 11738-84) кл.пр. 12.9</t>
        </is>
      </c>
      <c r="C14" s="30" t="inlineStr">
        <is>
          <t>DIN 912 / ГОСТ 11738-84</t>
        </is>
      </c>
      <c r="D14" s="30" t="inlineStr">
        <is>
          <t>Сталь 12.9</t>
        </is>
      </c>
      <c r="E14" s="28" t="n">
        <v>300</v>
      </c>
      <c r="F14" s="45" t="n">
        <v>0.268</v>
      </c>
      <c r="G14" s="45">
        <f>IF(F14="","",E14*F14)</f>
        <v/>
      </c>
      <c r="H14" s="28" t="inlineStr">
        <is>
          <t>в наличии</t>
        </is>
      </c>
    </row>
    <row r="15" ht="15" customHeight="1" s="23">
      <c r="A15" s="28" t="n">
        <v>17</v>
      </c>
      <c r="B15" s="30" t="inlineStr">
        <is>
          <t>Гайка KMT 20 (M100x2)</t>
        </is>
      </c>
      <c r="C15" s="30" t="inlineStr">
        <is>
          <t>KMT-20</t>
        </is>
      </c>
      <c r="D15" s="30" t="inlineStr">
        <is>
          <t>Сталь 45</t>
        </is>
      </c>
      <c r="E15" s="28" t="n">
        <v>27</v>
      </c>
      <c r="F15" s="45" t="n">
        <v>188.32</v>
      </c>
      <c r="G15" s="45">
        <f>IF(F15="","",E15*F15)</f>
        <v/>
      </c>
      <c r="H15" s="28" t="inlineStr">
        <is>
          <t>15 дней с даты заказа</t>
        </is>
      </c>
    </row>
    <row r="16" ht="15" customHeight="1" s="23">
      <c r="A16" s="28" t="n">
        <v>18</v>
      </c>
      <c r="B16" s="30" t="inlineStr">
        <is>
          <t>Гайка KMT 24 (M120x2)</t>
        </is>
      </c>
      <c r="C16" s="30" t="inlineStr">
        <is>
          <t>KMT-24</t>
        </is>
      </c>
      <c r="D16" s="30" t="inlineStr">
        <is>
          <t>Сталь 45</t>
        </is>
      </c>
      <c r="E16" s="28" t="n">
        <v>27</v>
      </c>
      <c r="F16" s="45" t="n">
        <v>231.12</v>
      </c>
      <c r="G16" s="45">
        <f>IF(F16="","",E16*F16)</f>
        <v/>
      </c>
      <c r="H16" s="28" t="inlineStr">
        <is>
          <t>15 дней с даты заказа</t>
        </is>
      </c>
    </row>
    <row r="17" ht="15" customHeight="1" s="23">
      <c r="A17" s="28" t="n">
        <v>20</v>
      </c>
      <c r="B17" s="30" t="inlineStr">
        <is>
          <t>Гайка KMT 28 (M140x2)</t>
        </is>
      </c>
      <c r="C17" s="30" t="inlineStr">
        <is>
          <t>KMT-28</t>
        </is>
      </c>
      <c r="D17" s="30" t="inlineStr">
        <is>
          <t>Сталь 45</t>
        </is>
      </c>
      <c r="E17" s="28" t="n">
        <v>12</v>
      </c>
      <c r="F17" s="45" t="n">
        <v>265.36</v>
      </c>
      <c r="G17" s="45">
        <f>IF(F17="","",E17*F17)</f>
        <v/>
      </c>
      <c r="H17" s="28" t="inlineStr">
        <is>
          <t>15 дней с даты заказа</t>
        </is>
      </c>
    </row>
    <row r="18" ht="15" customHeight="1" s="23">
      <c r="A18" s="28" t="n">
        <v>21</v>
      </c>
      <c r="B18" s="30" t="inlineStr">
        <is>
          <t>Гайка KMT 32 (M160x3)</t>
        </is>
      </c>
      <c r="C18" s="30" t="inlineStr">
        <is>
          <t>KMT-32</t>
        </is>
      </c>
      <c r="D18" s="30" t="inlineStr">
        <is>
          <t>Сталь 45</t>
        </is>
      </c>
      <c r="E18" s="28" t="n">
        <v>12</v>
      </c>
      <c r="F18" s="45" t="n">
        <v>341.33</v>
      </c>
      <c r="G18" s="45">
        <f>IF(F18="","",E18*F18)</f>
        <v/>
      </c>
      <c r="H18" s="28" t="inlineStr">
        <is>
          <t>15 дней с даты заказа</t>
        </is>
      </c>
    </row>
    <row r="19" ht="23.85" customHeight="1" s="23">
      <c r="A19" s="28" t="n">
        <v>31</v>
      </c>
      <c r="B19" s="30" t="inlineStr">
        <is>
          <t>Кольцо уплотнительное NBR70, 273×265×4 мм</t>
        </is>
      </c>
      <c r="C19" s="30" t="inlineStr">
        <is>
          <t>NBR70 273×265×4</t>
        </is>
      </c>
      <c r="D19" s="30" t="n"/>
      <c r="E19" s="28" t="n">
        <v>30</v>
      </c>
      <c r="F19" s="45" t="n"/>
      <c r="G19" s="45">
        <f>IF(F19="","",E19*F19)</f>
        <v/>
      </c>
      <c r="H19" s="28" t="inlineStr">
        <is>
          <t>запрос цены</t>
        </is>
      </c>
    </row>
    <row r="20" ht="15" customHeight="1" s="23">
      <c r="A20" s="28" t="n">
        <v>32</v>
      </c>
      <c r="B20" s="30" t="inlineStr">
        <is>
          <t>Кольцо стопорное d180 DIN 471</t>
        </is>
      </c>
      <c r="C20" s="30" t="inlineStr">
        <is>
          <t>DIN 471</t>
        </is>
      </c>
      <c r="D20" s="30" t="n"/>
      <c r="E20" s="28" t="n">
        <v>12</v>
      </c>
      <c r="F20" s="45" t="n"/>
      <c r="G20" s="45">
        <f>IF(F20="","",E20*F20)</f>
        <v/>
      </c>
      <c r="H20" s="28" t="inlineStr">
        <is>
          <t>запрос цены</t>
        </is>
      </c>
    </row>
    <row r="21" ht="15" customHeight="1" s="23">
      <c r="A21" s="28" t="n">
        <v>35</v>
      </c>
      <c r="B21" s="30" t="inlineStr">
        <is>
          <t>Кольцо лабиринта внешнее</t>
        </is>
      </c>
      <c r="C21" s="30" t="inlineStr">
        <is>
          <t>23916/2</t>
        </is>
      </c>
      <c r="D21" s="30" t="inlineStr">
        <is>
          <t>EN AW-1050A</t>
        </is>
      </c>
      <c r="E21" s="28" t="n">
        <v>15</v>
      </c>
      <c r="F21" s="45" t="n">
        <v>178.34</v>
      </c>
      <c r="G21" s="45">
        <f>IF(F21="","",E21*F21)</f>
        <v/>
      </c>
      <c r="H21" s="28" t="inlineStr">
        <is>
          <t>~30 дней</t>
        </is>
      </c>
    </row>
    <row r="22" ht="15" customHeight="1" s="23">
      <c r="A22" s="28" t="n">
        <v>36</v>
      </c>
      <c r="B22" s="30" t="inlineStr">
        <is>
          <t>Кольцо лабиринта внутреннее</t>
        </is>
      </c>
      <c r="C22" s="30" t="inlineStr">
        <is>
          <t>23915/2</t>
        </is>
      </c>
      <c r="D22" s="30" t="inlineStr">
        <is>
          <t>EN AW-1050A</t>
        </is>
      </c>
      <c r="E22" s="28" t="n">
        <v>15</v>
      </c>
      <c r="F22" s="45" t="n">
        <v>178.34</v>
      </c>
      <c r="G22" s="45">
        <f>IF(F22="","",E22*F22)</f>
        <v/>
      </c>
      <c r="H22" s="28" t="inlineStr">
        <is>
          <t>~30 дней</t>
        </is>
      </c>
    </row>
    <row r="23" ht="15" customHeight="1" s="23">
      <c r="A23" s="28" t="n">
        <v>38</v>
      </c>
      <c r="B23" s="30" t="inlineStr">
        <is>
          <t>Кольцо регулировочное Ø217</t>
        </is>
      </c>
      <c r="C23" s="30" t="inlineStr">
        <is>
          <t>23750/2b</t>
        </is>
      </c>
      <c r="D23" s="30" t="inlineStr">
        <is>
          <t>CuZn35Al1</t>
        </is>
      </c>
      <c r="E23" s="28" t="n">
        <v>19</v>
      </c>
      <c r="F23" s="45" t="n">
        <v>107</v>
      </c>
      <c r="G23" s="45">
        <f>IF(F23="","",E23*F23)</f>
        <v/>
      </c>
      <c r="H23" s="28" t="inlineStr">
        <is>
          <t>40 дней</t>
        </is>
      </c>
    </row>
    <row r="24" ht="15" customHeight="1" s="23">
      <c r="A24" s="28" t="n">
        <v>39</v>
      </c>
      <c r="B24" s="30" t="inlineStr">
        <is>
          <t>Кольцо регулировочное Ø260</t>
        </is>
      </c>
      <c r="C24" s="30" t="inlineStr">
        <is>
          <t>23749/2d</t>
        </is>
      </c>
      <c r="D24" s="30" t="inlineStr">
        <is>
          <t>CuZn35Al1</t>
        </is>
      </c>
      <c r="E24" s="28" t="n">
        <v>18</v>
      </c>
      <c r="F24" s="45" t="n">
        <v>171.2</v>
      </c>
      <c r="G24" s="45">
        <f>IF(F24="","",E24*F24)</f>
        <v/>
      </c>
      <c r="H24" s="28" t="inlineStr">
        <is>
          <t>40 дней</t>
        </is>
      </c>
    </row>
    <row r="25" ht="15" customHeight="1" s="23">
      <c r="A25" s="28" t="n">
        <v>40</v>
      </c>
      <c r="B25" s="30" t="inlineStr">
        <is>
          <t>Штифт цилиндрический Ø10x35</t>
        </is>
      </c>
      <c r="C25" s="30" t="inlineStr">
        <is>
          <t>58672/4a</t>
        </is>
      </c>
      <c r="D25" s="30" t="inlineStr">
        <is>
          <t>St50K / сталь 45</t>
        </is>
      </c>
      <c r="E25" s="28" t="n">
        <v>18</v>
      </c>
      <c r="F25" s="45" t="n">
        <v>43.93</v>
      </c>
      <c r="G25" s="45">
        <f>IF(F25="","",E25*F25)</f>
        <v/>
      </c>
      <c r="H25" s="28" t="inlineStr">
        <is>
          <t>~30 дней</t>
        </is>
      </c>
    </row>
    <row r="26" ht="15" customHeight="1" s="23">
      <c r="A26" s="28" t="n">
        <v>41</v>
      </c>
      <c r="B26" s="30" t="inlineStr">
        <is>
          <t>Штифт цилиндрический Ø14x45</t>
        </is>
      </c>
      <c r="C26" s="30" t="inlineStr">
        <is>
          <t>58741/4</t>
        </is>
      </c>
      <c r="D26" s="30" t="inlineStr">
        <is>
          <t>St50K / сталь 45</t>
        </is>
      </c>
      <c r="E26" s="28" t="n">
        <v>18</v>
      </c>
      <c r="F26" s="45" t="n">
        <v>43.93</v>
      </c>
      <c r="G26" s="45">
        <f>IF(F26="","",E26*F26)</f>
        <v/>
      </c>
      <c r="H26" s="28" t="inlineStr">
        <is>
          <t>~30 дней</t>
        </is>
      </c>
    </row>
    <row r="27" ht="15" customHeight="1" s="23">
      <c r="A27" s="28" t="n">
        <v>42</v>
      </c>
      <c r="B27" s="30" t="inlineStr">
        <is>
          <t>Штифт цилиндрический Ø10x32</t>
        </is>
      </c>
      <c r="C27" s="30" t="inlineStr">
        <is>
          <t>57931/4a</t>
        </is>
      </c>
      <c r="D27" s="30" t="inlineStr">
        <is>
          <t>St50K / сталь 45</t>
        </is>
      </c>
      <c r="E27" s="28" t="n">
        <v>18</v>
      </c>
      <c r="F27" s="45" t="n">
        <v>43.93</v>
      </c>
      <c r="G27" s="45">
        <f>IF(F27="","",E27*F27)</f>
        <v/>
      </c>
      <c r="H27" s="28" t="inlineStr">
        <is>
          <t>~30 дней</t>
        </is>
      </c>
    </row>
    <row r="28" ht="15" customHeight="1" s="23">
      <c r="A28" s="28" t="n">
        <v>48</v>
      </c>
      <c r="B28" s="30" t="inlineStr">
        <is>
          <t>Кольцо регулировочное Ø335</t>
        </is>
      </c>
      <c r="C28" s="30" t="inlineStr">
        <is>
          <t>28078/3</t>
        </is>
      </c>
      <c r="D28" s="30" t="inlineStr">
        <is>
          <t>G-CuZn35Al1</t>
        </is>
      </c>
      <c r="E28" s="28" t="n">
        <v>18</v>
      </c>
      <c r="F28" s="45" t="n">
        <v>481.5</v>
      </c>
      <c r="G28" s="45">
        <f>IF(F28="","",E28*F28)</f>
        <v/>
      </c>
      <c r="H28" s="28" t="inlineStr">
        <is>
          <t>40 дней</t>
        </is>
      </c>
    </row>
    <row r="29" ht="15" customHeight="1" s="23">
      <c r="A29" s="28" t="n">
        <v>49</v>
      </c>
      <c r="B29" s="30" t="inlineStr">
        <is>
          <t>Кольцо регулировочное Ø220</t>
        </is>
      </c>
      <c r="C29" s="30" t="inlineStr">
        <is>
          <t>23753/2a</t>
        </is>
      </c>
      <c r="D29" s="30" t="inlineStr">
        <is>
          <t>G-CuZn35Al1</t>
        </is>
      </c>
      <c r="E29" s="28" t="n">
        <v>18</v>
      </c>
      <c r="F29" s="45" t="n">
        <v>128.4</v>
      </c>
      <c r="G29" s="45">
        <f>IF(F29="","",E29*F29)</f>
        <v/>
      </c>
      <c r="H29" s="28" t="inlineStr">
        <is>
          <t>40 дней</t>
        </is>
      </c>
    </row>
    <row r="30" ht="15" customHeight="1" s="23">
      <c r="A30" s="28" t="n">
        <v>50</v>
      </c>
      <c r="B30" s="30" t="inlineStr">
        <is>
          <t>Кольцо регулировочное Ø264</t>
        </is>
      </c>
      <c r="C30" s="30" t="inlineStr">
        <is>
          <t>23751/2a</t>
        </is>
      </c>
      <c r="D30" s="30" t="inlineStr">
        <is>
          <t>G-CuZn35Al1</t>
        </is>
      </c>
      <c r="E30" s="28" t="n">
        <v>18</v>
      </c>
      <c r="F30" s="45" t="n">
        <v>214</v>
      </c>
      <c r="G30" s="45">
        <f>IF(F30="","",E30*F30)</f>
        <v/>
      </c>
      <c r="H30" s="28" t="inlineStr">
        <is>
          <t>40 дней</t>
        </is>
      </c>
    </row>
    <row r="31" ht="15" customHeight="1" s="23">
      <c r="A31" s="40" t="inlineStr">
        <is>
          <t>ИТОГО</t>
        </is>
      </c>
      <c r="B31" s="38" t="n"/>
      <c r="C31" s="39" t="n"/>
      <c r="D31" s="40" t="n"/>
      <c r="E31" s="40">
        <f>SUM(E5:E30)</f>
        <v/>
      </c>
      <c r="F31" s="40" t="n"/>
      <c r="G31" s="41">
        <f>SUM(G5:G30)</f>
        <v/>
      </c>
      <c r="H31" s="40" t="n"/>
    </row>
    <row r="33" ht="15" customHeight="1" s="23">
      <c r="A33" s="46" t="inlineStr">
        <is>
          <t>Вопросы:</t>
        </is>
      </c>
    </row>
    <row r="34" ht="15" customHeight="1" s="23">
      <c r="A34" s="44" t="inlineStr">
        <is>
          <t>0. Винты M10x80, M12x25, M10x25 кл. 12.9 — цены внесены в таблицу. M8x20 кл. 10.9, кольца стопорные d150/d180 DIN 471, кольцо NBR70 273×265×4 — цены запрошены, сообщим дополнительно.</t>
        </is>
      </c>
    </row>
    <row r="35" ht="15" customHeight="1" s="23">
      <c r="A35" s="44" t="inlineStr">
        <is>
          <t>1. Упаковка и доставка до г. Иу — уточняем у заводов, пришлём расчёт.</t>
        </is>
      </c>
    </row>
    <row r="36" ht="15" customHeight="1" s="23">
      <c r="A36" s="44" t="inlineStr">
        <is>
          <t>2. Винты и гайки (поз. 6, 7, 9, 10, 11, 12, 13, 14) — в наличии на складе; M8x20 кл. 10.9 — уточняется.</t>
        </is>
      </c>
    </row>
    <row r="37" ht="15" customHeight="1" s="23">
      <c r="A37" s="44" t="inlineStr">
        <is>
          <t>3. KMT (поз. 17, 18, 20, 21) — срок поставки 15 дней с даты заказа.</t>
        </is>
      </c>
    </row>
    <row r="38" ht="15" customHeight="1" s="23">
      <c r="A38" s="44" t="inlineStr">
        <is>
          <t>4. KMT 24: просим прислать чертёж Wellenmutter — в полученном комплекте его нет; передадим на завод для расчёта доработки.</t>
        </is>
      </c>
    </row>
    <row r="39" ht="15" customHeight="1" s="23">
      <c r="A39" s="44" t="inlineStr">
        <is>
          <t>5. Поз. 48: в вашем файле «ф335 28078-3» ревизия «a» (добавлена окружность Ø310). Предложение сделано по этому чертежу — расхождения нет.</t>
        </is>
      </c>
    </row>
    <row r="40" ht="15" customHeight="1" s="23">
      <c r="A40" s="44" t="inlineStr">
        <is>
          <t>6. Принято, ждём ваше решение по стали 45 (штифты) и нумерацию для маркировки поз. 38 (23750/2b).</t>
        </is>
      </c>
    </row>
    <row r="41">
      <c r="A41" t="inlineStr">
        <is>
          <t>7. В перечне нет втулки подшипника 29556/1b (15 шт., 2 803,40 CNY/шт). Это осознанно или нужно добавить?</t>
        </is>
      </c>
    </row>
  </sheetData>
  <mergeCells count="1">
    <mergeCell ref="A31:C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2026-10-25T04:28:12Z</dcterms:created>
  <dcterms:modified xmlns:dcterms="http://purl.org/dc/terms/" xmlns:xsi="http://www.w3.org/2001/XMLSchema-instance" xsi:type="dcterms:W3CDTF">2026-10-29T01:50:03Z</dcterms:modified>
  <cp:revision>0</cp:revision>
</cp:coreProperties>
</file>