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едложени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##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0" customWidth="1" min="2" max="2"/>
    <col width="24" customWidth="1" min="3" max="3"/>
    <col width="9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№ поз.</t>
        </is>
      </c>
      <c r="B1" s="1" t="inlineStr">
        <is>
          <t>Наименование</t>
        </is>
      </c>
      <c r="C1" s="1" t="inlineStr">
        <is>
          <t>Чертёж</t>
        </is>
      </c>
      <c r="D1" s="1" t="inlineStr">
        <is>
          <t>Кол-во</t>
        </is>
      </c>
      <c r="E1" s="1" t="inlineStr">
        <is>
          <t>Цена за ед., CNY с НДС 13%</t>
        </is>
      </c>
      <c r="F1" s="1" t="inlineStr">
        <is>
          <t>Сумма, CNY с НДС 13%</t>
        </is>
      </c>
      <c r="G1" s="1" t="inlineStr">
        <is>
          <t>Срок изготовления</t>
        </is>
      </c>
    </row>
    <row r="2">
      <c r="A2" s="2" t="n">
        <v>1</v>
      </c>
      <c r="B2" s="2" t="inlineStr">
        <is>
          <t>Кольцо байонетное с замком</t>
        </is>
      </c>
      <c r="C2" s="2" t="inlineStr">
        <is>
          <t>30333/0</t>
        </is>
      </c>
      <c r="D2" s="2" t="n">
        <v>12</v>
      </c>
      <c r="E2" s="3" t="n">
        <v>1098.36</v>
      </c>
      <c r="F2" s="4" t="n">
        <v>13180.26</v>
      </c>
      <c r="G2" s="2" t="inlineStr">
        <is>
          <t>~30 дн.</t>
        </is>
      </c>
    </row>
    <row r="3">
      <c r="A3" s="2" t="n">
        <v>2</v>
      </c>
      <c r="B3" s="2" t="inlineStr">
        <is>
          <t>Кольцо байонетное</t>
        </is>
      </c>
      <c r="C3" s="2" t="inlineStr">
        <is>
          <t>30334/0d</t>
        </is>
      </c>
      <c r="D3" s="2" t="n">
        <v>12</v>
      </c>
      <c r="E3" s="3" t="n">
        <v>1208.19</v>
      </c>
      <c r="F3" s="4" t="n">
        <v>14498.29</v>
      </c>
      <c r="G3" s="2" t="inlineStr">
        <is>
          <t>~30 дн.</t>
        </is>
      </c>
    </row>
    <row r="4">
      <c r="A4" s="2" t="n">
        <v>3</v>
      </c>
      <c r="B4" s="2" t="inlineStr">
        <is>
          <t>Кольцо (гильза) байонетное с замком</t>
        </is>
      </c>
      <c r="C4" s="2" t="inlineStr">
        <is>
          <t>23770/2e</t>
        </is>
      </c>
      <c r="D4" s="2" t="n">
        <v>9</v>
      </c>
      <c r="E4" s="3" t="n">
        <v>2855.73</v>
      </c>
      <c r="F4" s="4" t="n">
        <v>25701.6</v>
      </c>
      <c r="G4" s="2" t="inlineStr">
        <is>
          <t>~30 дн.</t>
        </is>
      </c>
    </row>
    <row r="5">
      <c r="A5" s="2" t="n">
        <v>4</v>
      </c>
      <c r="B5" s="2" t="inlineStr">
        <is>
          <t>Кольцо байонетное</t>
        </is>
      </c>
      <c r="C5" s="2" t="inlineStr">
        <is>
          <t>23771/2c</t>
        </is>
      </c>
      <c r="D5" s="2" t="n">
        <v>9</v>
      </c>
      <c r="E5" s="3" t="n">
        <v>2196.71</v>
      </c>
      <c r="F5" s="4" t="n">
        <v>19770.39</v>
      </c>
      <c r="G5" s="2" t="inlineStr">
        <is>
          <t>~30 дн.</t>
        </is>
      </c>
    </row>
    <row r="6">
      <c r="A6" s="2" t="n">
        <v>6</v>
      </c>
      <c r="B6" s="2" t="inlineStr">
        <is>
          <t>Винт M10x90 DIN 912 кл. пр. 12.9</t>
        </is>
      </c>
      <c r="C6" s="2" t="inlineStr">
        <is>
          <t>DIN 912 (ГОСТ 11738-84)</t>
        </is>
      </c>
      <c r="D6" s="2" t="n">
        <v>300</v>
      </c>
      <c r="E6" s="3" t="n">
        <v>0.674</v>
      </c>
      <c r="F6" s="4" t="n">
        <v>202.23</v>
      </c>
      <c r="G6" s="2" t="inlineStr">
        <is>
          <t>уточняется</t>
        </is>
      </c>
    </row>
    <row r="7">
      <c r="A7" s="2" t="n">
        <v>7</v>
      </c>
      <c r="B7" s="2" t="inlineStr">
        <is>
          <t>Винт M8x16 DIN 912 кл. пр. 12.9</t>
        </is>
      </c>
      <c r="C7" s="2" t="inlineStr">
        <is>
          <t>DIN 912</t>
        </is>
      </c>
      <c r="D7" s="2" t="n">
        <v>300</v>
      </c>
      <c r="E7" s="3" t="n">
        <v>0.139</v>
      </c>
      <c r="F7" s="4" t="n">
        <v>41.73</v>
      </c>
      <c r="G7" s="2" t="inlineStr">
        <is>
          <t>уточняется</t>
        </is>
      </c>
    </row>
    <row r="8">
      <c r="A8" s="2" t="n">
        <v>9</v>
      </c>
      <c r="B8" s="2" t="inlineStr">
        <is>
          <t>Винт M8x70 DIN 912 кл. пр. 12.9</t>
        </is>
      </c>
      <c r="C8" s="2" t="inlineStr">
        <is>
          <t>DIN 912</t>
        </is>
      </c>
      <c r="D8" s="2" t="n">
        <v>300</v>
      </c>
      <c r="E8" s="3" t="n">
        <v>0.364</v>
      </c>
      <c r="F8" s="4" t="n">
        <v>109.14</v>
      </c>
      <c r="G8" s="2" t="inlineStr">
        <is>
          <t>уточняется</t>
        </is>
      </c>
    </row>
    <row r="9">
      <c r="A9" s="2" t="n">
        <v>10</v>
      </c>
      <c r="B9" s="2" t="inlineStr">
        <is>
          <t>Винт M10x80 DIN 912 кл. пр. 12.9</t>
        </is>
      </c>
      <c r="C9" s="2" t="inlineStr">
        <is>
          <t>DIN 912</t>
        </is>
      </c>
      <c r="D9" s="2" t="n">
        <v>300</v>
      </c>
      <c r="E9" s="3" t="n">
        <v>0.621</v>
      </c>
      <c r="F9" s="4" t="n">
        <v>186.18</v>
      </c>
      <c r="G9" s="2" t="inlineStr">
        <is>
          <t>уточняется</t>
        </is>
      </c>
    </row>
    <row r="10">
      <c r="A10" s="2" t="n">
        <v>11</v>
      </c>
      <c r="B10" s="2" t="inlineStr">
        <is>
          <t>Винт M12x25 DIN 912 кл. пр. 12.9</t>
        </is>
      </c>
      <c r="C10" s="2" t="inlineStr">
        <is>
          <t>DIN 912</t>
        </is>
      </c>
      <c r="D10" s="2" t="n">
        <v>300</v>
      </c>
      <c r="E10" s="3" t="n">
        <v>0.396</v>
      </c>
      <c r="F10" s="4" t="n">
        <v>118.77</v>
      </c>
      <c r="G10" s="2" t="inlineStr">
        <is>
          <t>уточняется</t>
        </is>
      </c>
    </row>
    <row r="11">
      <c r="A11" s="2" t="n">
        <v>12</v>
      </c>
      <c r="B11" s="2" t="inlineStr">
        <is>
          <t>Гайка M10 ГОСТ 5915-70 кл. пр. 8</t>
        </is>
      </c>
      <c r="C11" s="2" t="inlineStr">
        <is>
          <t>ГОСТ 5915-70 (ISO 4032)</t>
        </is>
      </c>
      <c r="D11" s="2" t="n">
        <v>300</v>
      </c>
      <c r="E11" s="3" t="n">
        <v>0.032</v>
      </c>
      <c r="F11" s="4" t="n">
        <v>9.630000000000001</v>
      </c>
      <c r="G11" s="2" t="inlineStr">
        <is>
          <t>уточняется</t>
        </is>
      </c>
    </row>
    <row r="12">
      <c r="A12" s="2" t="n">
        <v>13</v>
      </c>
      <c r="B12" s="2" t="inlineStr">
        <is>
          <t>Гайка M12 ГОСТ 5915-70 кл. пр. 8</t>
        </is>
      </c>
      <c r="C12" s="2" t="inlineStr">
        <is>
          <t>ГОСТ 5915-70 (ISO 4032)</t>
        </is>
      </c>
      <c r="D12" s="2" t="n">
        <v>300</v>
      </c>
      <c r="E12" s="3" t="n">
        <v>0.043</v>
      </c>
      <c r="F12" s="4" t="n">
        <v>12.84</v>
      </c>
      <c r="G12" s="2" t="inlineStr">
        <is>
          <t>уточняется</t>
        </is>
      </c>
    </row>
    <row r="13">
      <c r="A13" s="2" t="n">
        <v>14</v>
      </c>
      <c r="B13" s="2" t="inlineStr">
        <is>
          <t>Винт M10x25 DIN 912 кл. пр. 12.9</t>
        </is>
      </c>
      <c r="C13" s="2" t="inlineStr">
        <is>
          <t>DIN 912 (ГОСТ 11738-84)</t>
        </is>
      </c>
      <c r="D13" s="2" t="n">
        <v>300</v>
      </c>
      <c r="E13" s="3" t="n">
        <v>0.268</v>
      </c>
      <c r="F13" s="4" t="n">
        <v>80.25</v>
      </c>
      <c r="G13" s="2" t="inlineStr">
        <is>
          <t>уточняется</t>
        </is>
      </c>
    </row>
    <row r="14">
      <c r="A14" s="2" t="n">
        <v>17</v>
      </c>
      <c r="B14" s="2" t="inlineStr">
        <is>
          <t>Гайка KMT 20 (M100x2)</t>
        </is>
      </c>
      <c r="C14" s="2" t="inlineStr">
        <is>
          <t>по типоразмеру SKF KMT 20</t>
        </is>
      </c>
      <c r="D14" s="2" t="n">
        <v>27</v>
      </c>
      <c r="E14" s="3" t="n">
        <v>188.32</v>
      </c>
      <c r="F14" s="4" t="n">
        <v>5084.64</v>
      </c>
      <c r="G14" s="2" t="inlineStr">
        <is>
          <t>в наличии</t>
        </is>
      </c>
    </row>
    <row r="15">
      <c r="A15" s="2" t="n">
        <v>18</v>
      </c>
      <c r="B15" s="2" t="inlineStr">
        <is>
          <t>Гайка KMT 24 (M120x2)</t>
        </is>
      </c>
      <c r="C15" s="2" t="inlineStr">
        <is>
          <t>по типоразмеру SKF KMT 24</t>
        </is>
      </c>
      <c r="D15" s="2" t="n">
        <v>27</v>
      </c>
      <c r="E15" s="3" t="n">
        <v>231.12</v>
      </c>
      <c r="F15" s="4" t="n">
        <v>6240.24</v>
      </c>
      <c r="G15" s="2" t="inlineStr">
        <is>
          <t>в наличии</t>
        </is>
      </c>
    </row>
    <row r="16">
      <c r="A16" s="2" t="n">
        <v>20</v>
      </c>
      <c r="B16" s="2" t="inlineStr">
        <is>
          <t>Гайка KMT 28 (M140x2)</t>
        </is>
      </c>
      <c r="C16" s="2" t="inlineStr">
        <is>
          <t>по типоразмеру SKF KMT 28</t>
        </is>
      </c>
      <c r="D16" s="2" t="n">
        <v>12</v>
      </c>
      <c r="E16" s="3" t="n">
        <v>265.36</v>
      </c>
      <c r="F16" s="4" t="n">
        <v>3184.32</v>
      </c>
      <c r="G16" s="2" t="inlineStr">
        <is>
          <t>в наличии</t>
        </is>
      </c>
    </row>
    <row r="17">
      <c r="A17" s="2" t="n">
        <v>21</v>
      </c>
      <c r="B17" s="2" t="inlineStr">
        <is>
          <t>Гайка KMT 32 (M160x2)</t>
        </is>
      </c>
      <c r="C17" s="2" t="inlineStr">
        <is>
          <t>по типоразмеру SKF KMT 32</t>
        </is>
      </c>
      <c r="D17" s="2" t="n">
        <v>12</v>
      </c>
      <c r="E17" s="3" t="n">
        <v>341.33</v>
      </c>
      <c r="F17" s="4" t="n">
        <v>4095.96</v>
      </c>
      <c r="G17" s="2" t="inlineStr">
        <is>
          <t>в наличии</t>
        </is>
      </c>
    </row>
    <row r="18">
      <c r="A18" s="2" t="n">
        <v>23</v>
      </c>
      <c r="B18" s="2" t="inlineStr">
        <is>
          <t>Вал 1 (Kocks SRB-360)</t>
        </is>
      </c>
      <c r="C18" s="2" t="inlineStr">
        <is>
          <t>30314/0f</t>
        </is>
      </c>
      <c r="D18" s="2" t="n">
        <v>20</v>
      </c>
      <c r="E18" s="3" t="n">
        <v>25391.1</v>
      </c>
      <c r="F18" s="4" t="n">
        <v>507822</v>
      </c>
      <c r="G18" s="2" t="inlineStr">
        <is>
          <t>45–60 дн.</t>
        </is>
      </c>
    </row>
    <row r="19">
      <c r="A19" s="2" t="n">
        <v>25</v>
      </c>
      <c r="B19" s="2" t="inlineStr">
        <is>
          <t>Втулка подшипника</t>
        </is>
      </c>
      <c r="C19" s="2" t="inlineStr">
        <is>
          <t>29556/1b</t>
        </is>
      </c>
      <c r="D19" s="2" t="n">
        <v>15</v>
      </c>
      <c r="E19" s="3" t="n">
        <v>2803.4</v>
      </c>
      <c r="F19" s="4" t="n">
        <v>42051</v>
      </c>
      <c r="G19" s="2" t="inlineStr">
        <is>
          <t>40 дн.</t>
        </is>
      </c>
    </row>
    <row r="20">
      <c r="A20" s="2" t="n">
        <v>32</v>
      </c>
      <c r="B20" s="2" t="inlineStr">
        <is>
          <t>Сегмент конического колеса (в заявке: «стержень конический шлицевой»)</t>
        </is>
      </c>
      <c r="C20" s="2" t="inlineStr">
        <is>
          <t>29515/1a</t>
        </is>
      </c>
      <c r="D20" s="2" t="n">
        <v>6</v>
      </c>
      <c r="E20" s="3" t="n">
        <v>1043.25</v>
      </c>
      <c r="F20" s="4" t="n">
        <v>6259.5</v>
      </c>
      <c r="G20" s="2" t="inlineStr">
        <is>
          <t>45–60 дн.</t>
        </is>
      </c>
    </row>
    <row r="21">
      <c r="A21" s="2" t="n">
        <v>33</v>
      </c>
      <c r="B21" s="2" t="inlineStr">
        <is>
          <t>Кольцо лабиринта внешнее</t>
        </is>
      </c>
      <c r="C21" s="2" t="inlineStr">
        <is>
          <t>23916/2</t>
        </is>
      </c>
      <c r="D21" s="2" t="n">
        <v>15</v>
      </c>
      <c r="E21" s="3" t="n">
        <v>178.34</v>
      </c>
      <c r="F21" s="4" t="n">
        <v>2675.05</v>
      </c>
      <c r="G21" s="2" t="inlineStr">
        <is>
          <t>~30 дн.</t>
        </is>
      </c>
    </row>
    <row r="22">
      <c r="A22" s="2" t="n">
        <v>34</v>
      </c>
      <c r="B22" s="2" t="inlineStr">
        <is>
          <t>Кольцо лабиринта внутреннее</t>
        </is>
      </c>
      <c r="C22" s="2" t="inlineStr">
        <is>
          <t>23915/2</t>
        </is>
      </c>
      <c r="D22" s="2" t="n">
        <v>15</v>
      </c>
      <c r="E22" s="3" t="n">
        <v>178.34</v>
      </c>
      <c r="F22" s="4" t="n">
        <v>2675.05</v>
      </c>
      <c r="G22" s="2" t="inlineStr">
        <is>
          <t>~30 дн.</t>
        </is>
      </c>
    </row>
    <row r="23">
      <c r="A23" s="2" t="n">
        <v>35</v>
      </c>
      <c r="B23" s="2" t="inlineStr">
        <is>
          <t>Кольцо регулировочное Ø176 (прокладка)</t>
        </is>
      </c>
      <c r="C23" s="2" t="inlineStr">
        <is>
          <t>28074/3b</t>
        </is>
      </c>
      <c r="D23" s="2" t="n">
        <v>18</v>
      </c>
      <c r="E23" s="3" t="n">
        <v>414.09</v>
      </c>
      <c r="F23" s="4" t="n">
        <v>7453.62</v>
      </c>
      <c r="G23" s="2" t="inlineStr">
        <is>
          <t>7–15 дн.</t>
        </is>
      </c>
    </row>
    <row r="24">
      <c r="A24" s="2" t="n">
        <v>36</v>
      </c>
      <c r="B24" s="2" t="inlineStr">
        <is>
          <t>Кольцо регулировочное Ø217 (упорная шайба)</t>
        </is>
      </c>
      <c r="C24" s="2" t="inlineStr">
        <is>
          <t>23750/2b</t>
        </is>
      </c>
      <c r="D24" s="2" t="n">
        <v>19</v>
      </c>
      <c r="E24" s="3" t="n">
        <v>107</v>
      </c>
      <c r="F24" s="4" t="n">
        <v>2033</v>
      </c>
      <c r="G24" s="2" t="inlineStr">
        <is>
          <t>40 дн.</t>
        </is>
      </c>
    </row>
    <row r="25">
      <c r="A25" s="2" t="n">
        <v>37</v>
      </c>
      <c r="B25" s="2" t="inlineStr">
        <is>
          <t>Кольцо регулировочное Ø260 (упорная шайба)</t>
        </is>
      </c>
      <c r="C25" s="2" t="inlineStr">
        <is>
          <t>23749/2d</t>
        </is>
      </c>
      <c r="D25" s="2" t="n">
        <v>18</v>
      </c>
      <c r="E25" s="3" t="n">
        <v>171.2</v>
      </c>
      <c r="F25" s="4" t="n">
        <v>3081.6</v>
      </c>
      <c r="G25" s="2" t="inlineStr">
        <is>
          <t>40 дн.</t>
        </is>
      </c>
    </row>
    <row r="26">
      <c r="A26" s="2" t="n">
        <v>38</v>
      </c>
      <c r="B26" s="2" t="inlineStr">
        <is>
          <t>Штифт цилиндрический Ø10x35</t>
        </is>
      </c>
      <c r="C26" s="2" t="inlineStr">
        <is>
          <t>58672/4a</t>
        </is>
      </c>
      <c r="D26" s="2" t="n">
        <v>18</v>
      </c>
      <c r="E26" s="3" t="n">
        <v>43.93</v>
      </c>
      <c r="F26" s="4" t="n">
        <v>790.8200000000001</v>
      </c>
      <c r="G26" s="2" t="inlineStr">
        <is>
          <t>~30 дн.</t>
        </is>
      </c>
    </row>
    <row r="27">
      <c r="A27" s="2" t="n">
        <v>39</v>
      </c>
      <c r="B27" s="2" t="inlineStr">
        <is>
          <t>Штифт цилиндрический Ø14x45</t>
        </is>
      </c>
      <c r="C27" s="2" t="inlineStr">
        <is>
          <t>58741/4</t>
        </is>
      </c>
      <c r="D27" s="2" t="n">
        <v>18</v>
      </c>
      <c r="E27" s="3" t="n">
        <v>43.93</v>
      </c>
      <c r="F27" s="4" t="n">
        <v>790.8200000000001</v>
      </c>
      <c r="G27" s="2" t="inlineStr">
        <is>
          <t>~30 дн.</t>
        </is>
      </c>
    </row>
    <row r="28">
      <c r="A28" s="2" t="n">
        <v>40</v>
      </c>
      <c r="B28" s="2" t="inlineStr">
        <is>
          <t>Штифт цилиндрический Ø10x32</t>
        </is>
      </c>
      <c r="C28" s="2" t="inlineStr">
        <is>
          <t>57931/4a</t>
        </is>
      </c>
      <c r="D28" s="2" t="n">
        <v>18</v>
      </c>
      <c r="E28" s="3" t="n">
        <v>43.93</v>
      </c>
      <c r="F28" s="4" t="n">
        <v>790.8200000000001</v>
      </c>
      <c r="G28" s="2" t="inlineStr">
        <is>
          <t>~30 дн.</t>
        </is>
      </c>
    </row>
    <row r="29">
      <c r="A29" s="2" t="n">
        <v>41</v>
      </c>
      <c r="B29" s="2" t="inlineStr">
        <is>
          <t>Зубчатый сегмент (в заявке: «стержень конический шлицевой»)</t>
        </is>
      </c>
      <c r="C29" s="2" t="inlineStr">
        <is>
          <t>29628/1a</t>
        </is>
      </c>
      <c r="D29" s="2" t="n">
        <v>3</v>
      </c>
      <c r="E29" s="3" t="n">
        <v>1043.25</v>
      </c>
      <c r="F29" s="4" t="n">
        <v>3129.75</v>
      </c>
      <c r="G29" s="2" t="inlineStr">
        <is>
          <t>45–60 дн.</t>
        </is>
      </c>
    </row>
    <row r="30">
      <c r="A30" s="2" t="n">
        <v>42</v>
      </c>
      <c r="B30" s="2" t="inlineStr">
        <is>
          <t>Кольцо лабиринтное</t>
        </is>
      </c>
      <c r="C30" s="2" t="inlineStr">
        <is>
          <t>58679/4d</t>
        </is>
      </c>
      <c r="D30" s="2" t="n">
        <v>12</v>
      </c>
      <c r="E30" s="3" t="n">
        <v>1318.03</v>
      </c>
      <c r="F30" s="4" t="n">
        <v>15816.31</v>
      </c>
      <c r="G30" s="2" t="inlineStr">
        <is>
          <t>~30 дн.</t>
        </is>
      </c>
    </row>
    <row r="31">
      <c r="A31" s="2" t="n">
        <v>43</v>
      </c>
      <c r="B31" s="2" t="inlineStr">
        <is>
          <t>Вал-шестерня (вал зубчатый)</t>
        </is>
      </c>
      <c r="C31" s="2" t="inlineStr">
        <is>
          <t>23844/2b</t>
        </is>
      </c>
      <c r="D31" s="2" t="n">
        <v>6</v>
      </c>
      <c r="E31" s="3" t="n">
        <v>1364.25</v>
      </c>
      <c r="F31" s="4" t="n">
        <v>8185.5</v>
      </c>
      <c r="G31" s="2" t="inlineStr">
        <is>
          <t>45–60 дн.</t>
        </is>
      </c>
    </row>
    <row r="32">
      <c r="A32" s="2" t="n">
        <v>44</v>
      </c>
      <c r="B32" s="2" t="inlineStr">
        <is>
          <t>Вал 2 короткий</t>
        </is>
      </c>
      <c r="C32" s="2" t="inlineStr">
        <is>
          <t>29537/1c</t>
        </is>
      </c>
      <c r="D32" s="2" t="n">
        <v>18</v>
      </c>
      <c r="E32" s="3" t="n">
        <v>4590.3</v>
      </c>
      <c r="F32" s="4" t="n">
        <v>82625.39999999999</v>
      </c>
      <c r="G32" s="2" t="inlineStr">
        <is>
          <t>45–60 дн.</t>
        </is>
      </c>
    </row>
    <row r="33">
      <c r="A33" s="2" t="n">
        <v>45</v>
      </c>
      <c r="B33" s="2" t="inlineStr">
        <is>
          <t>Кожух защитный (крышка)</t>
        </is>
      </c>
      <c r="C33" s="2" t="inlineStr">
        <is>
          <t>23767/2a</t>
        </is>
      </c>
      <c r="D33" s="2" t="n">
        <v>12</v>
      </c>
      <c r="E33" s="3" t="n">
        <v>1318.03</v>
      </c>
      <c r="F33" s="4" t="n">
        <v>15816.31</v>
      </c>
      <c r="G33" s="2" t="inlineStr">
        <is>
          <t>~30 дн.</t>
        </is>
      </c>
    </row>
    <row r="34">
      <c r="A34" s="2" t="n">
        <v>46</v>
      </c>
      <c r="B34" s="2" t="inlineStr">
        <is>
          <t>Кольцо регулировочное Ø335 (установочный диск)</t>
        </is>
      </c>
      <c r="C34" s="2" t="inlineStr">
        <is>
          <t>28078/3a</t>
        </is>
      </c>
      <c r="D34" s="2" t="n">
        <v>18</v>
      </c>
      <c r="E34" s="3" t="n">
        <v>481.5</v>
      </c>
      <c r="F34" s="4" t="n">
        <v>8667</v>
      </c>
      <c r="G34" s="2" t="inlineStr">
        <is>
          <t>40 дн.</t>
        </is>
      </c>
    </row>
    <row r="35">
      <c r="A35" s="2" t="n">
        <v>47</v>
      </c>
      <c r="B35" s="2" t="inlineStr">
        <is>
          <t>Кольцо регулировочное Ø220 (дистанционная шайба)</t>
        </is>
      </c>
      <c r="C35" s="2" t="inlineStr">
        <is>
          <t>23753/2a</t>
        </is>
      </c>
      <c r="D35" s="2" t="n">
        <v>18</v>
      </c>
      <c r="E35" s="3" t="n">
        <v>128.4</v>
      </c>
      <c r="F35" s="4" t="n">
        <v>2311.2</v>
      </c>
      <c r="G35" s="2" t="inlineStr">
        <is>
          <t>40 дн.</t>
        </is>
      </c>
    </row>
    <row r="36">
      <c r="A36" s="2" t="n">
        <v>48</v>
      </c>
      <c r="B36" s="2" t="inlineStr">
        <is>
          <t>Кольцо регулировочное Ø264 (дистанционная шайба)</t>
        </is>
      </c>
      <c r="C36" s="2" t="inlineStr">
        <is>
          <t>23751/2a</t>
        </is>
      </c>
      <c r="D36" s="2" t="n">
        <v>18</v>
      </c>
      <c r="E36" s="3" t="n">
        <v>214</v>
      </c>
      <c r="F36" s="4" t="n">
        <v>3852</v>
      </c>
      <c r="G36" s="2" t="inlineStr">
        <is>
          <t>40 дн.</t>
        </is>
      </c>
    </row>
    <row r="37">
      <c r="A37" s="2" t="n">
        <v>49</v>
      </c>
      <c r="B37" s="2" t="inlineStr">
        <is>
          <t>Втулка лабиринтная (крышка лабиринта)</t>
        </is>
      </c>
      <c r="C37" s="2" t="inlineStr">
        <is>
          <t>23774/2a</t>
        </is>
      </c>
      <c r="D37" s="2" t="n">
        <v>12</v>
      </c>
      <c r="E37" s="3" t="n">
        <v>878.6799999999999</v>
      </c>
      <c r="F37" s="4" t="n">
        <v>10544.21</v>
      </c>
      <c r="G37" s="2" t="inlineStr">
        <is>
          <t>~30 дн.</t>
        </is>
      </c>
    </row>
    <row r="39">
      <c r="A39" s="5" t="inlineStr">
        <is>
          <t>ИТОГО</t>
        </is>
      </c>
      <c r="B39" s="5" t="inlineStr"/>
      <c r="C39" s="5" t="inlineStr"/>
      <c r="D39" s="5" t="inlineStr"/>
      <c r="E39" s="5" t="inlineStr"/>
      <c r="F39" s="5">
        <f>SUM(F2:F37)</f>
        <v/>
      </c>
      <c r="G39" s="5" t="inlineStr"/>
    </row>
    <row r="41">
      <c r="A41" t="inlineStr">
        <is>
          <t>Условия: цены в CNY, включают НДС 13% (спец. инвойс), базис EXW завод-изготовитель, без упаковки и доставки. Позиции, не вошедшие в таблицу, находятся в проработке.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2026-10-20T16:40:42Z</dcterms:created>
  <dcterms:modified xmlns:dcterms="http://purl.org/dc/terms/" xmlns:xsi="http://www.w3.org/2001/XMLSchema-instance" xsi:type="dcterms:W3CDTF">2026-10-20T16:40:42Z</dcterms:modified>
</cp:coreProperties>
</file>